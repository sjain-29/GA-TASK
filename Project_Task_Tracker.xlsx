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Task Log" sheetId="2" state="visible" r:id="rId4"/>
    <sheet name="Today's Plan" sheetId="3" state="visible" r:id="rId5"/>
    <sheet name="Dashboard" sheetId="4" state="visible" r:id="rId6"/>
  </sheets>
  <definedNames>
    <definedName function="false" hidden="true" localSheetId="1" name="_xlnm._FilterDatabase" vbProcedure="false">'Task Log'!$A$1:$R$500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<sst xmlns="http://schemas.openxmlformats.org/spreadsheetml/2006/main" count="172" uniqueCount="127">
  <si>
    <t xml:space="preserve">PROJECT TASK TRACKER - DAILY, DATE-WISE</t>
  </si>
  <si>
    <t xml:space="preserve">HOW THIS WORKBOOK WORKS</t>
  </si>
  <si>
    <t xml:space="preserve">1. Enter every task ONCE on the 'Task Log' sheet. Never retype a task on a new day.</t>
  </si>
  <si>
    <t xml:space="preserve">2. Fill only the coloured columns. White columns are formulas - do not type in them.</t>
  </si>
  <si>
    <t xml:space="preserve">3. If a task is not marked Completed by its Due Date, it is carried forward automatically:</t>
  </si>
  <si>
    <t xml:space="preserve">   its 'Active Date' rolls to today and it keeps appearing on 'Today's Plan'.</t>
  </si>
  <si>
    <t xml:space="preserve">4. Set Status = Completed and enter the Completed Date - the task closes on that date</t>
  </si>
  <si>
    <t xml:space="preserve">   and stops rolling forward.</t>
  </si>
  <si>
    <t xml:space="preserve">5. 'Dashboard' is live. Every count and chart recalculates on its own.</t>
  </si>
  <si>
    <t xml:space="preserve">TWO DIFFERENT DATES - USE BOTH</t>
  </si>
  <si>
    <t xml:space="preserve">Due Date - when YOUR step has to be finished (send quote, prepare kit, follow up DGCA).</t>
  </si>
  <si>
    <t xml:space="preserve">Execution / Event Date - the committed date the project itself must happen: the demo date,</t>
  </si>
  <si>
    <t xml:space="preserve">   dispatch date, inspection date, tender submission deadline, training batch start.</t>
  </si>
  <si>
    <t xml:space="preserve">   This is the date you cannot miss in front of the client. Pair it with Event Type.</t>
  </si>
  <si>
    <t xml:space="preserve">   'Days to Event' counts down for you and turns red once the date has passed.</t>
  </si>
  <si>
    <t xml:space="preserve">   A task can have a due date only, an event date only, or both.</t>
  </si>
  <si>
    <t xml:space="preserve">COLUMNS YOU FILL</t>
  </si>
  <si>
    <t xml:space="preserve">Date Logged / Vertical / Task Description / Client / Order Type / Priority</t>
  </si>
  <si>
    <t xml:space="preserve">Due Date / Execution-Event Date / Event Type / Status / Completed Date / Remarks</t>
  </si>
  <si>
    <t xml:space="preserve">Shortcut for any date cell: press Ctrl + ;  (inserts today's date)</t>
  </si>
  <si>
    <t xml:space="preserve">COLUMNS CALCULATED FOR YOU (do not edit)</t>
  </si>
  <si>
    <t xml:space="preserve">Active Date - the date the task sits on today. Completed tasks freeze on their completion</t>
  </si>
  <si>
    <t xml:space="preserve">   date; open tasks roll to TODAY once the due date has passed.</t>
  </si>
  <si>
    <t xml:space="preserve">Day Status - Completed / Carried Forward / Due Today / Upcoming</t>
  </si>
  <si>
    <t xml:space="preserve">Days to Event - days remaining to the execution date. Negative means the date has passed.</t>
  </si>
  <si>
    <t xml:space="preserve">Ageing (Days) - how long the task has been alive</t>
  </si>
  <si>
    <t xml:space="preserve">Open Seq - internal helper for 'Today's Plan'. Leave it alone (you may hide column Q).</t>
  </si>
  <si>
    <t xml:space="preserve">SHEETS</t>
  </si>
  <si>
    <t xml:space="preserve">Task Log       - master register of every task, all verticals</t>
  </si>
  <si>
    <t xml:space="preserve">Today's Plan   - everything open as on today, including carry-forwards</t>
  </si>
  <si>
    <t xml:space="preserve">Dashboard      - counts, completion %, upcoming events, and 5 charts</t>
  </si>
  <si>
    <t xml:space="preserve">NOTES</t>
  </si>
  <si>
    <t xml:space="preserve">- 6 sample rows are pre-filled so you can see the format. Delete rows 2-7 before real use.</t>
  </si>
  <si>
    <t xml:space="preserve">- Formulas run to row 500. To extend, select the last filled row and drag down.</t>
  </si>
  <si>
    <t xml:space="preserve">- The web app uses these exact columns, so Excel and the app import/export cleanly.</t>
  </si>
  <si>
    <t xml:space="preserve">Task ID</t>
  </si>
  <si>
    <t xml:space="preserve">Date Logged</t>
  </si>
  <si>
    <t xml:space="preserve">Vertical</t>
  </si>
  <si>
    <t xml:space="preserve">Task Description</t>
  </si>
  <si>
    <t xml:space="preserve">Client / Customer</t>
  </si>
  <si>
    <t xml:space="preserve">Order Type</t>
  </si>
  <si>
    <t xml:space="preserve">Priority</t>
  </si>
  <si>
    <t xml:space="preserve">Due Date</t>
  </si>
  <si>
    <t xml:space="preserve">Execution / Event Date</t>
  </si>
  <si>
    <t xml:space="preserve">Event Type</t>
  </si>
  <si>
    <t xml:space="preserve">Status</t>
  </si>
  <si>
    <t xml:space="preserve">Completed Date</t>
  </si>
  <si>
    <t xml:space="preserve">Active Date</t>
  </si>
  <si>
    <t xml:space="preserve">Day Status</t>
  </si>
  <si>
    <t xml:space="preserve">Days to Event</t>
  </si>
  <si>
    <t xml:space="preserve">Ageing (Days)</t>
  </si>
  <si>
    <t xml:space="preserve">Open Seq</t>
  </si>
  <si>
    <t xml:space="preserve">Remarks</t>
  </si>
  <si>
    <t xml:space="preserve">Tenders</t>
  </si>
  <si>
    <t xml:space="preserve">Submit technical bid documents for surveillance drone tender</t>
  </si>
  <si>
    <t xml:space="preserve">State Police Dept</t>
  </si>
  <si>
    <t xml:space="preserve">Tender / Bid</t>
  </si>
  <si>
    <t xml:space="preserve">High</t>
  </si>
  <si>
    <t xml:space="preserve">Tender Submission</t>
  </si>
  <si>
    <t xml:space="preserve">In Progress</t>
  </si>
  <si>
    <t xml:space="preserve">SAMPLE - overdue step, carried forward automatically</t>
  </si>
  <si>
    <t xml:space="preserve">Defence</t>
  </si>
  <si>
    <t xml:space="preserve">Arrange flight demo of VTOL unit for evaluation team</t>
  </si>
  <si>
    <t xml:space="preserve">MoD - Army Wing</t>
  </si>
  <si>
    <t xml:space="preserve">Drone Sale - Govt Order</t>
  </si>
  <si>
    <t xml:space="preserve">Demo</t>
  </si>
  <si>
    <t xml:space="preserve">SAMPLE - demo date is the committed date</t>
  </si>
  <si>
    <t xml:space="preserve">RPTO Establishment</t>
  </si>
  <si>
    <t xml:space="preserve">Follow up DGCA file for new RPTO site approval</t>
  </si>
  <si>
    <t xml:space="preserve">Internal</t>
  </si>
  <si>
    <t xml:space="preserve">Internal / Admin</t>
  </si>
  <si>
    <t xml:space="preserve">Medium</t>
  </si>
  <si>
    <t xml:space="preserve">Go-Live</t>
  </si>
  <si>
    <t xml:space="preserve">Not Started</t>
  </si>
  <si>
    <t xml:space="preserve">SAMPLE</t>
  </si>
  <si>
    <t xml:space="preserve">Agri Services</t>
  </si>
  <si>
    <t xml:space="preserve">Schedule spraying crew for 120 acre paddy block</t>
  </si>
  <si>
    <t xml:space="preserve">Farmer Producer Org</t>
  </si>
  <si>
    <t xml:space="preserve">Service / DaaS</t>
  </si>
  <si>
    <t xml:space="preserve">Site Survey</t>
  </si>
  <si>
    <t xml:space="preserve">Completed</t>
  </si>
  <si>
    <t xml:space="preserve">SAMPLE - closed, stops rolling</t>
  </si>
  <si>
    <t xml:space="preserve">Redington</t>
  </si>
  <si>
    <t xml:space="preserve">Share updated price list and channel margin sheet</t>
  </si>
  <si>
    <t xml:space="preserve">Redington India</t>
  </si>
  <si>
    <t xml:space="preserve">Drone Sale - Private</t>
  </si>
  <si>
    <t xml:space="preserve">Low</t>
  </si>
  <si>
    <t xml:space="preserve">SAMPLE - no event date, only a due date</t>
  </si>
  <si>
    <t xml:space="preserve">DaaS</t>
  </si>
  <si>
    <t xml:space="preserve">Raise invoice for September survey mandays</t>
  </si>
  <si>
    <t xml:space="preserve">Private Infra Co</t>
  </si>
  <si>
    <t xml:space="preserve">Payment / Invoice</t>
  </si>
  <si>
    <t xml:space="preserve">TODAY'S PLAN - every open task as on</t>
  </si>
  <si>
    <t xml:space="preserve">Auto-generated from the Task Log. Overdue tasks stay here until marked Completed. Nothing to type on this sheet.</t>
  </si>
  <si>
    <t xml:space="preserve">S.No</t>
  </si>
  <si>
    <t xml:space="preserve">Event Date</t>
  </si>
  <si>
    <t xml:space="preserve">PROJECT TASK DASHBOARD</t>
  </si>
  <si>
    <t xml:space="preserve">SNAPSHOT</t>
  </si>
  <si>
    <t xml:space="preserve">Total Tasks</t>
  </si>
  <si>
    <t xml:space="preserve">Open</t>
  </si>
  <si>
    <t xml:space="preserve">Carried Forward</t>
  </si>
  <si>
    <t xml:space="preserve">Due Today</t>
  </si>
  <si>
    <t xml:space="preserve">Events in next 7 days</t>
  </si>
  <si>
    <t xml:space="preserve">Event Dates Missed</t>
  </si>
  <si>
    <t xml:space="preserve">Completion %</t>
  </si>
  <si>
    <t xml:space="preserve">TASKS BY VERTICAL</t>
  </si>
  <si>
    <t xml:space="preserve">TASKS BY STATUS</t>
  </si>
  <si>
    <t xml:space="preserve">LAST 14 DAYS - DUE vs COMPLETED</t>
  </si>
  <si>
    <t xml:space="preserve">UPCOMING EVENTS (NEXT 30 DAYS)</t>
  </si>
  <si>
    <t xml:space="preserve">Total</t>
  </si>
  <si>
    <t xml:space="preserve">Count</t>
  </si>
  <si>
    <t xml:space="preserve">Date</t>
  </si>
  <si>
    <t xml:space="preserve">Tasks Due</t>
  </si>
  <si>
    <t xml:space="preserve">Industry</t>
  </si>
  <si>
    <t xml:space="preserve">Delivery / Dispatch</t>
  </si>
  <si>
    <t xml:space="preserve">On Hold</t>
  </si>
  <si>
    <t xml:space="preserve">Inspection</t>
  </si>
  <si>
    <t xml:space="preserve">RPTO</t>
  </si>
  <si>
    <t xml:space="preserve">Training Batch</t>
  </si>
  <si>
    <t xml:space="preserve">V V Yatra</t>
  </si>
  <si>
    <t xml:space="preserve">OPEN TASKS BY PRIORITY</t>
  </si>
  <si>
    <t xml:space="preserve">Review Meeting</t>
  </si>
  <si>
    <t xml:space="preserve">CoE</t>
  </si>
  <si>
    <t xml:space="preserve">Global</t>
  </si>
  <si>
    <t xml:space="preserve">Other</t>
  </si>
  <si>
    <t xml:space="preserve">Agri Drone</t>
  </si>
  <si>
    <t xml:space="preserve">Note: counts read Task Log rows 2-500. 'Carried Forward' = not completed and past its due date. 'Event Dates Missed' = execution date passed with the task still open.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</si>
</sst>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dd\-mmm\-yyyy"/>
    <numFmt numFmtId="167" formatCode="0"/>
    <numFmt numFmtId="168" formatCode="0.0%"/>
    <numFmt numFmtId="169" formatCode="dd\-mmm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D9E2F3"/>
        <bgColor rgb="FFD9D9D9"/>
      </patternFill>
    </fill>
    <fill>
      <patternFill patternType="solid">
        <fgColor rgb="FF1F3864"/>
        <bgColor rgb="FF333399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6500"/>
          <bgColor rgb="FF000000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808080"/>
        <sz val="10"/>
      </font>
    </dxf>
    <dxf>
      <fill>
        <patternFill>
          <bgColor rgb="FFFFC7CE"/>
        </patternFill>
      </fill>
    </dxf>
    <dxf>
      <fill>
        <patternFill>
          <bgColor rgb="FFFFF2CC"/>
        </patternFill>
      </fill>
    </dxf>
    <dxf>
      <font>
        <name val="Arial"/>
        <charset val="1"/>
        <family val="0"/>
        <b val="1"/>
        <color rgb="FF9C0006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808080"/>
      <rgbColor rgb="FF9999FF"/>
      <rgbColor rgb="FFBE4B48"/>
      <rgbColor rgb="FFFFF2CC"/>
      <rgbColor rgb="FFD9E2F3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C6EFCE"/>
      <rgbColor rgb="FFFFEB9C"/>
      <rgbColor rgb="FF99CCFF"/>
      <rgbColor rgb="FFFF99CC"/>
      <rgbColor rgb="FFCC99FF"/>
      <rgbColor rgb="FFFFC7CE"/>
      <rgbColor rgb="FF4A7EBB"/>
      <rgbColor rgb="FF33CCCC"/>
      <rgbColor rgb="FF9BBB59"/>
      <rgbColor rgb="FFFFCC00"/>
      <rgbColor rgb="FFFF9900"/>
      <rgbColor rgb="FFFF6600"/>
      <rgbColor rgb="FF8064A2"/>
      <rgbColor rgb="FF878787"/>
      <rgbColor rgb="FF1F3864"/>
      <rgbColor rgb="FF4F81BD"/>
      <rgbColor rgb="FF003300"/>
      <rgbColor rgb="FF333300"/>
      <rgbColor rgb="FF993300"/>
      <rgbColor rgb="FFC0504D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Tasks by Vertical (Completed vs Open)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stacked"/>
        <c:varyColors val="0"/>
        <c:ser>
          <c:idx val="0"/>
          <c:order val="0"/>
          <c:tx>
            <c:strRef>
              <c:f>Dashboard!C15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Dashboard!$A$16:$A$27</c:f>
              <c:strCache>
                <c:ptCount val="12"/>
                <c:pt idx="0">
                  <c:v>Defence</c:v>
                </c:pt>
                <c:pt idx="1">
                  <c:v>Industry</c:v>
                </c:pt>
                <c:pt idx="2">
                  <c:v>Tenders</c:v>
                </c:pt>
                <c:pt idx="3">
                  <c:v>RPTO</c:v>
                </c:pt>
                <c:pt idx="4">
                  <c:v>RPTO Establishment</c:v>
                </c:pt>
                <c:pt idx="5">
                  <c:v>DaaS</c:v>
                </c:pt>
                <c:pt idx="6">
                  <c:v>V V Yatra</c:v>
                </c:pt>
                <c:pt idx="7">
                  <c:v>Redington</c:v>
                </c:pt>
                <c:pt idx="8">
                  <c:v>CoE</c:v>
                </c:pt>
                <c:pt idx="9">
                  <c:v>Global</c:v>
                </c:pt>
                <c:pt idx="10">
                  <c:v>Agri Drone</c:v>
                </c:pt>
                <c:pt idx="11">
                  <c:v>Agri Services</c:v>
                </c:pt>
              </c:strCache>
            </c:strRef>
          </c:cat>
          <c:val>
            <c:numRef>
              <c:f>Dashboard!$C$16:$C$27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</c:ser>
        <c:ser>
          <c:idx val="1"/>
          <c:order val="1"/>
          <c:tx>
            <c:strRef>
              <c:f>Dashboard!D15</c:f>
              <c:strCache>
                <c:ptCount val="1"/>
                <c:pt idx="0">
                  <c:v>Open</c:v>
                </c:pt>
              </c:strCache>
            </c:strRef>
          </c:tx>
          <c:spPr>
            <a:solidFill>
              <a:srgbClr val="c0504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Dashboard!$A$16:$A$27</c:f>
              <c:strCache>
                <c:ptCount val="12"/>
                <c:pt idx="0">
                  <c:v>Defence</c:v>
                </c:pt>
                <c:pt idx="1">
                  <c:v>Industry</c:v>
                </c:pt>
                <c:pt idx="2">
                  <c:v>Tenders</c:v>
                </c:pt>
                <c:pt idx="3">
                  <c:v>RPTO</c:v>
                </c:pt>
                <c:pt idx="4">
                  <c:v>RPTO Establishment</c:v>
                </c:pt>
                <c:pt idx="5">
                  <c:v>DaaS</c:v>
                </c:pt>
                <c:pt idx="6">
                  <c:v>V V Yatra</c:v>
                </c:pt>
                <c:pt idx="7">
                  <c:v>Redington</c:v>
                </c:pt>
                <c:pt idx="8">
                  <c:v>CoE</c:v>
                </c:pt>
                <c:pt idx="9">
                  <c:v>Global</c:v>
                </c:pt>
                <c:pt idx="10">
                  <c:v>Agri Drone</c:v>
                </c:pt>
                <c:pt idx="11">
                  <c:v>Agri Services</c:v>
                </c:pt>
              </c:strCache>
            </c:strRef>
          </c:cat>
          <c:val>
            <c:numRef>
              <c:f>Dashboard!$D$16:$D$27</c:f>
              <c:numCache>
                <c:formatCode>General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150"/>
        <c:overlap val="100"/>
        <c:axId val="85546823"/>
        <c:axId val="90517647"/>
      </c:barChart>
      <c:catAx>
        <c:axId val="85546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0517647"/>
        <c:crosses val="autoZero"/>
        <c:auto val="1"/>
        <c:lblAlgn val="ctr"/>
        <c:lblOffset val="100"/>
        <c:noMultiLvlLbl val="0"/>
      </c:catAx>
      <c:valAx>
        <c:axId val="905176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No. of Tasks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5468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Task Status Split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Dashboard!G15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0">
                <a:noFill/>
              </a:ln>
            </c:spPr>
          </c:dPt>
          <c:dLbls>
            <c:dLbl>
              <c:idx val="0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1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2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dLbl>
              <c:idx val="3"/>
              <c:txPr>
                <a:bodyPr wrap="none"/>
                <a:lstStyle/>
                <a:p>
                  <a:pPr>
                    <a:defRPr b="0" sz="1000" spc="-1" strike="noStrike">
                      <a:latin typeface="Arial"/>
                    </a:defRPr>
                  </a:pPr>
                </a:p>
              </c:txPr>
              <c:showLegendKey val="0"/>
              <c:showVal val="0"/>
              <c:showCatName val="0"/>
              <c:showSerName val="0"/>
              <c:showPercent val="0"/>
              <c:separator> </c:separator>
            </c:dLbl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</c:dLbls>
          <c:cat>
            <c:strRef>
              <c:f>Dashboard!$F$16:$F$19</c:f>
              <c:strCache>
                <c:ptCount val="4"/>
                <c:pt idx="0">
                  <c:v>Not Started</c:v>
                </c:pt>
                <c:pt idx="1">
                  <c:v>In Progress</c:v>
                </c:pt>
                <c:pt idx="2">
                  <c:v>On Hold</c:v>
                </c:pt>
                <c:pt idx="3">
                  <c:v>Completed</c:v>
                </c:pt>
              </c:strCache>
            </c:strRef>
          </c:cat>
          <c:val>
            <c:numRef>
              <c:f>Dashboard!$G$16:$G$19</c:f>
              <c:numCache>
                <c:formatCode>General</c:formatCode>
                <c:ptCount val="4"/>
                <c:pt idx="0">
                  <c:v>2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</c:numCache>
            </c:numRef>
          </c:val>
        </c:ser>
        <c:firstSliceAng val="0"/>
      </c:pieChart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Open Tasks by Priority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Dashboard!G23</c:f>
              <c:strCache>
                <c:ptCount val="1"/>
                <c:pt idx="0">
                  <c:v>Open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Dashboard!$F$24:$F$26</c:f>
              <c:strCache>
                <c:ptCount val="3"/>
                <c:pt idx="0">
                  <c:v>High</c:v>
                </c:pt>
                <c:pt idx="1">
                  <c:v>Medium</c:v>
                </c:pt>
                <c:pt idx="2">
                  <c:v>Low</c:v>
                </c:pt>
              </c:strCache>
            </c:strRef>
          </c:cat>
          <c:val>
            <c:numRef>
              <c:f>Dashboard!$G$24:$G$26</c:f>
              <c:numCache>
                <c:formatCode>General</c:formatCode>
                <c:ptCount val="3"/>
                <c:pt idx="0">
                  <c:v>3</c:v>
                </c:pt>
                <c:pt idx="1">
                  <c:v>1</c:v>
                </c:pt>
                <c:pt idx="2">
                  <c:v>1</c:v>
                </c:pt>
              </c:numCache>
            </c:numRef>
          </c:val>
        </c:ser>
        <c:gapWidth val="150"/>
        <c:overlap val="0"/>
        <c:axId val="24002141"/>
        <c:axId val="75459612"/>
      </c:barChart>
      <c:catAx>
        <c:axId val="2400214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459612"/>
        <c:crosses val="autoZero"/>
        <c:auto val="1"/>
        <c:lblAlgn val="ctr"/>
        <c:lblOffset val="100"/>
        <c:noMultiLvlLbl val="0"/>
      </c:catAx>
      <c:valAx>
        <c:axId val="754596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002141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Last 14 Days - Tasks Due vs Completed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Dashboard!J15</c:f>
              <c:strCache>
                <c:ptCount val="1"/>
                <c:pt idx="0">
                  <c:v>Tasks Due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Dashboard!$I$16:$I$29</c:f>
              <c:strCache>
                <c:ptCount val="14"/>
                <c:pt idx="0">
                  <c:v>02-Sep</c:v>
                </c:pt>
                <c:pt idx="1">
                  <c:v>03-Sep</c:v>
                </c:pt>
                <c:pt idx="2">
                  <c:v>04-Sep</c:v>
                </c:pt>
                <c:pt idx="3">
                  <c:v>05-Sep</c:v>
                </c:pt>
                <c:pt idx="4">
                  <c:v>06-Sep</c:v>
                </c:pt>
                <c:pt idx="5">
                  <c:v>07-Sep</c:v>
                </c:pt>
                <c:pt idx="6">
                  <c:v>08-Sep</c:v>
                </c:pt>
                <c:pt idx="7">
                  <c:v>09-Sep</c:v>
                </c:pt>
                <c:pt idx="8">
                  <c:v>10-Sep</c:v>
                </c:pt>
                <c:pt idx="9">
                  <c:v>11-Sep</c:v>
                </c:pt>
                <c:pt idx="10">
                  <c:v>12-Sep</c:v>
                </c:pt>
                <c:pt idx="11">
                  <c:v>13-Sep</c:v>
                </c:pt>
                <c:pt idx="12">
                  <c:v>14-Sep</c:v>
                </c:pt>
                <c:pt idx="13">
                  <c:v>15-Sep</c:v>
                </c:pt>
              </c:strCache>
            </c:strRef>
          </c:cat>
          <c:val>
            <c:numRef>
              <c:f>Dashboard!$J$16:$J$29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Dashboard!K15</c:f>
              <c:strCache>
                <c:ptCount val="1"/>
                <c:pt idx="0">
                  <c:v>Completed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Dashboard!$I$16:$I$29</c:f>
              <c:strCache>
                <c:ptCount val="14"/>
                <c:pt idx="0">
                  <c:v>02-Sep</c:v>
                </c:pt>
                <c:pt idx="1">
                  <c:v>03-Sep</c:v>
                </c:pt>
                <c:pt idx="2">
                  <c:v>04-Sep</c:v>
                </c:pt>
                <c:pt idx="3">
                  <c:v>05-Sep</c:v>
                </c:pt>
                <c:pt idx="4">
                  <c:v>06-Sep</c:v>
                </c:pt>
                <c:pt idx="5">
                  <c:v>07-Sep</c:v>
                </c:pt>
                <c:pt idx="6">
                  <c:v>08-Sep</c:v>
                </c:pt>
                <c:pt idx="7">
                  <c:v>09-Sep</c:v>
                </c:pt>
                <c:pt idx="8">
                  <c:v>10-Sep</c:v>
                </c:pt>
                <c:pt idx="9">
                  <c:v>11-Sep</c:v>
                </c:pt>
                <c:pt idx="10">
                  <c:v>12-Sep</c:v>
                </c:pt>
                <c:pt idx="11">
                  <c:v>13-Sep</c:v>
                </c:pt>
                <c:pt idx="12">
                  <c:v>14-Sep</c:v>
                </c:pt>
                <c:pt idx="13">
                  <c:v>15-Sep</c:v>
                </c:pt>
              </c:strCache>
            </c:strRef>
          </c:cat>
          <c:val>
            <c:numRef>
              <c:f>Dashboard!$K$16:$K$29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5229624"/>
        <c:axId val="75482614"/>
      </c:lineChart>
      <c:catAx>
        <c:axId val="45229624"/>
        <c:scaling>
          <c:orientation val="minMax"/>
        </c:scaling>
        <c:delete val="0"/>
        <c:axPos val="b"/>
        <c:numFmt formatCode="dd\-m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5482614"/>
        <c:crosses val="autoZero"/>
        <c:auto val="1"/>
        <c:lblAlgn val="ctr"/>
        <c:lblOffset val="100"/>
        <c:noMultiLvlLbl val="0"/>
      </c:catAx>
      <c:valAx>
        <c:axId val="754826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No. of Tasks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229624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Upcoming Events by Type (next 30 days)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Dashboard!N15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4f81bd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Dashboard!$M$16:$M$25</c:f>
              <c:strCache>
                <c:ptCount val="10"/>
                <c:pt idx="0">
                  <c:v>Demo</c:v>
                </c:pt>
                <c:pt idx="1">
                  <c:v>Delivery / Dispatch</c:v>
                </c:pt>
                <c:pt idx="2">
                  <c:v>Inspection</c:v>
                </c:pt>
                <c:pt idx="3">
                  <c:v>Tender Submission</c:v>
                </c:pt>
                <c:pt idx="4">
                  <c:v>Training Batch</c:v>
                </c:pt>
                <c:pt idx="5">
                  <c:v>Site Survey</c:v>
                </c:pt>
                <c:pt idx="6">
                  <c:v>Go-Live</c:v>
                </c:pt>
                <c:pt idx="7">
                  <c:v>Review Meeting</c:v>
                </c:pt>
                <c:pt idx="8">
                  <c:v>Payment / Invoice</c:v>
                </c:pt>
                <c:pt idx="9">
                  <c:v>Other</c:v>
                </c:pt>
              </c:strCache>
            </c:strRef>
          </c:cat>
          <c:val>
            <c:numRef>
              <c:f>Dashboard!$N$16:$N$25</c:f>
              <c:numCache>
                <c:formatCode>General</c:formatCode>
                <c:ptCount val="1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</c:numCache>
            </c:numRef>
          </c:val>
        </c:ser>
        <c:gapWidth val="150"/>
        <c:overlap val="0"/>
        <c:axId val="85847575"/>
        <c:axId val="35674429"/>
      </c:barChart>
      <c:catAx>
        <c:axId val="85847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5674429"/>
        <c:crosses val="autoZero"/>
        <c:auto val="1"/>
        <c:lblAlgn val="ctr"/>
        <c:lblOffset val="100"/>
        <c:noMultiLvlLbl val="0"/>
      </c:catAx>
      <c:valAx>
        <c:axId val="356744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No. of Events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584757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31</xdr:row>
      <xdr:rowOff>130680</xdr:rowOff>
    </xdr:from>
    <xdr:to>
      <xdr:col>8</xdr:col>
      <xdr:colOff>101520</xdr:colOff>
      <xdr:row>48</xdr:row>
      <xdr:rowOff>131760</xdr:rowOff>
    </xdr:to>
    <xdr:graphicFrame>
      <xdr:nvGraphicFramePr>
        <xdr:cNvPr id="0" name="Chart 1"/>
        <xdr:cNvGraphicFramePr/>
      </xdr:nvGraphicFramePr>
      <xdr:xfrm>
        <a:off x="0" y="6095880"/>
        <a:ext cx="71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11</xdr:col>
      <xdr:colOff>0</xdr:colOff>
      <xdr:row>31</xdr:row>
      <xdr:rowOff>130680</xdr:rowOff>
    </xdr:from>
    <xdr:to>
      <xdr:col>15</xdr:col>
      <xdr:colOff>481320</xdr:colOff>
      <xdr:row>48</xdr:row>
      <xdr:rowOff>131760</xdr:rowOff>
    </xdr:to>
    <xdr:graphicFrame>
      <xdr:nvGraphicFramePr>
        <xdr:cNvPr id="1" name="Chart 2"/>
        <xdr:cNvGraphicFramePr/>
      </xdr:nvGraphicFramePr>
      <xdr:xfrm>
        <a:off x="9494640" y="6095880"/>
        <a:ext cx="39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51</xdr:row>
      <xdr:rowOff>131040</xdr:rowOff>
    </xdr:from>
    <xdr:to>
      <xdr:col>4</xdr:col>
      <xdr:colOff>199080</xdr:colOff>
      <xdr:row>66</xdr:row>
      <xdr:rowOff>153000</xdr:rowOff>
    </xdr:to>
    <xdr:graphicFrame>
      <xdr:nvGraphicFramePr>
        <xdr:cNvPr id="2" name="Chart 3"/>
        <xdr:cNvGraphicFramePr/>
      </xdr:nvGraphicFramePr>
      <xdr:xfrm>
        <a:off x="0" y="9906120"/>
        <a:ext cx="39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6</xdr:col>
      <xdr:colOff>0</xdr:colOff>
      <xdr:row>51</xdr:row>
      <xdr:rowOff>131040</xdr:rowOff>
    </xdr:from>
    <xdr:to>
      <xdr:col>15</xdr:col>
      <xdr:colOff>8280</xdr:colOff>
      <xdr:row>66</xdr:row>
      <xdr:rowOff>153000</xdr:rowOff>
    </xdr:to>
    <xdr:graphicFrame>
      <xdr:nvGraphicFramePr>
        <xdr:cNvPr id="3" name="Chart 4"/>
        <xdr:cNvGraphicFramePr/>
      </xdr:nvGraphicFramePr>
      <xdr:xfrm>
        <a:off x="5781600" y="990612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70</xdr:row>
      <xdr:rowOff>131040</xdr:rowOff>
    </xdr:from>
    <xdr:to>
      <xdr:col>8</xdr:col>
      <xdr:colOff>101520</xdr:colOff>
      <xdr:row>85</xdr:row>
      <xdr:rowOff>153000</xdr:rowOff>
    </xdr:to>
    <xdr:graphicFrame>
      <xdr:nvGraphicFramePr>
        <xdr:cNvPr id="4" name="Chart 5"/>
        <xdr:cNvGraphicFramePr/>
      </xdr:nvGraphicFramePr>
      <xdr:xfrm>
        <a:off x="0" y="1352556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5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/>
    </row>
    <row r="20" customFormat="false" ht="15" hidden="false" customHeight="false" outlineLevel="0" collapsed="false">
      <c r="A20" s="3" t="s">
        <v>16</v>
      </c>
    </row>
    <row r="21" customFormat="false" ht="15" hidden="false" customHeight="false" outlineLevel="0" collapsed="false">
      <c r="A21" s="2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/>
    </row>
    <row r="25" customFormat="false" ht="15" hidden="false" customHeight="false" outlineLevel="0" collapsed="false">
      <c r="A25" s="3" t="s">
        <v>20</v>
      </c>
    </row>
    <row r="26" customFormat="false" ht="15" hidden="false" customHeight="false" outlineLevel="0" collapsed="false">
      <c r="A26" s="2" t="s">
        <v>21</v>
      </c>
    </row>
    <row r="27" customFormat="false" ht="15" hidden="false" customHeight="false" outlineLevel="0" collapsed="false">
      <c r="A27" s="2" t="s">
        <v>22</v>
      </c>
    </row>
    <row r="28" customFormat="false" ht="15" hidden="false" customHeight="false" outlineLevel="0" collapsed="false">
      <c r="A28" s="2" t="s">
        <v>23</v>
      </c>
    </row>
    <row r="29" customFormat="false" ht="15" hidden="false" customHeight="false" outlineLevel="0" collapsed="false">
      <c r="A29" s="2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/>
    </row>
    <row r="33" customFormat="false" ht="15" hidden="false" customHeight="false" outlineLevel="0" collapsed="false">
      <c r="A33" s="3" t="s">
        <v>27</v>
      </c>
    </row>
    <row r="34" customFormat="false" ht="15" hidden="false" customHeight="false" outlineLevel="0" collapsed="false">
      <c r="A34" s="2" t="s">
        <v>28</v>
      </c>
    </row>
    <row r="35" customFormat="false" ht="15" hidden="false" customHeight="false" outlineLevel="0" collapsed="false">
      <c r="A35" s="2" t="s">
        <v>29</v>
      </c>
    </row>
    <row r="36" customFormat="false" ht="15" hidden="false" customHeight="false" outlineLevel="0" collapsed="false">
      <c r="A36" s="2" t="s">
        <v>30</v>
      </c>
    </row>
    <row r="37" customFormat="false" ht="15" hidden="false" customHeight="false" outlineLevel="0" collapsed="false">
      <c r="A37" s="2"/>
    </row>
    <row r="38" customFormat="false" ht="15" hidden="false" customHeight="false" outlineLevel="0" collapsed="false">
      <c r="A38" s="3" t="s">
        <v>31</v>
      </c>
    </row>
    <row r="39" customFormat="false" ht="15" hidden="false" customHeight="false" outlineLevel="0" collapsed="false">
      <c r="A39" s="2" t="s">
        <v>32</v>
      </c>
    </row>
    <row r="40" customFormat="false" ht="15" hidden="false" customHeight="false" outlineLevel="0" collapsed="false">
      <c r="A40" s="2" t="s">
        <v>33</v>
      </c>
    </row>
    <row r="41" customFormat="false" ht="15" hidden="false" customHeight="false" outlineLevel="0" collapsed="false">
      <c r="A41" s="2" t="s">
        <v>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5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3"/>
    <col collapsed="false" customWidth="true" hidden="false" outlineLevel="0" max="3" min="3" style="0" width="20"/>
    <col collapsed="false" customWidth="true" hidden="false" outlineLevel="0" max="4" min="4" style="0" width="42"/>
    <col collapsed="false" customWidth="true" hidden="false" outlineLevel="0" max="6" min="5" style="0" width="24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6"/>
    <col collapsed="false" customWidth="true" hidden="false" outlineLevel="0" max="10" min="10" style="0" width="19"/>
    <col collapsed="false" customWidth="true" hidden="false" outlineLevel="0" max="11" min="11" style="0" width="13"/>
    <col collapsed="false" customWidth="true" hidden="false" outlineLevel="0" max="12" min="12" style="0" width="15"/>
    <col collapsed="false" customWidth="true" hidden="false" outlineLevel="0" max="13" min="13" style="0" width="13"/>
    <col collapsed="false" customWidth="true" hidden="false" outlineLevel="0" max="14" min="14" style="0" width="17"/>
    <col collapsed="false" customWidth="true" hidden="false" outlineLevel="0" max="16" min="15" style="0" width="13"/>
    <col collapsed="false" customWidth="true" hidden="false" outlineLevel="0" max="17" min="17" style="0" width="10"/>
    <col collapsed="false" customWidth="true" hidden="false" outlineLevel="0" max="18" min="18" style="0" width="30"/>
  </cols>
  <sheetData>
    <row r="1" customFormat="false" ht="31.5" hidden="false" customHeight="true" outlineLevel="0" collapsed="false">
      <c r="A1" s="4" t="s">
        <v>35</v>
      </c>
      <c r="B1" s="4" t="s">
        <v>36</v>
      </c>
      <c r="C1" s="4" t="s">
        <v>37</v>
      </c>
      <c r="D1" s="4" t="s">
        <v>38</v>
      </c>
      <c r="E1" s="4" t="s">
        <v>39</v>
      </c>
      <c r="F1" s="4" t="s">
        <v>40</v>
      </c>
      <c r="G1" s="4" t="s">
        <v>41</v>
      </c>
      <c r="H1" s="4" t="s">
        <v>42</v>
      </c>
      <c r="I1" s="4" t="s">
        <v>43</v>
      </c>
      <c r="J1" s="4" t="s">
        <v>44</v>
      </c>
      <c r="K1" s="4" t="s">
        <v>45</v>
      </c>
      <c r="L1" s="4" t="s">
        <v>46</v>
      </c>
      <c r="M1" s="4" t="s">
        <v>47</v>
      </c>
      <c r="N1" s="4" t="s">
        <v>48</v>
      </c>
      <c r="O1" s="4" t="s">
        <v>49</v>
      </c>
      <c r="P1" s="4" t="s">
        <v>50</v>
      </c>
      <c r="Q1" s="4" t="s">
        <v>51</v>
      </c>
      <c r="R1" s="4" t="s">
        <v>52</v>
      </c>
    </row>
    <row r="2" customFormat="false" ht="15" hidden="false" customHeight="false" outlineLevel="0" collapsed="false">
      <c r="A2" s="5" t="n">
        <f aca="false">IF($D2="","",ROW()-1)</f>
        <v>1</v>
      </c>
      <c r="B2" s="6" t="n">
        <v>46274</v>
      </c>
      <c r="C2" s="7" t="s">
        <v>53</v>
      </c>
      <c r="D2" s="7" t="s">
        <v>54</v>
      </c>
      <c r="E2" s="7" t="s">
        <v>55</v>
      </c>
      <c r="F2" s="7" t="s">
        <v>56</v>
      </c>
      <c r="G2" s="8" t="s">
        <v>57</v>
      </c>
      <c r="H2" s="6" t="n">
        <v>46278</v>
      </c>
      <c r="I2" s="9" t="n">
        <v>46284</v>
      </c>
      <c r="J2" s="10" t="s">
        <v>58</v>
      </c>
      <c r="K2" s="8" t="s">
        <v>59</v>
      </c>
      <c r="L2" s="6"/>
      <c r="M2" s="11" t="n">
        <f aca="true">IF($D2="","",IF($K2="Completed",IF($L2="",$H2,$L2),IF($H2="","",IF($H2&lt;TODAY(),TODAY(),$H2))))</f>
        <v>46280</v>
      </c>
      <c r="N2" s="12" t="str">
        <f aca="true">IF($D2="","",IF($K2="Completed","Completed",IF($H2="","No Due Date",IF($H2&lt;TODAY(),"Carried Forward",IF($H2=TODAY(),"Due Today","Upcoming")))))</f>
        <v>Carried Forward</v>
      </c>
      <c r="O2" s="5" t="n">
        <f aca="true">IF($D2="","",IF($I2="","",IF($K2="Completed","",$I2-TODAY())))</f>
        <v>4</v>
      </c>
      <c r="P2" s="5" t="n">
        <f aca="true">IF($D2="","",IF($B2="","",IF($K2="Completed",IF($L2="","",$L2-$B2),TODAY()-$B2)))</f>
        <v>6</v>
      </c>
      <c r="Q2" s="5" t="n">
        <f aca="false">IF($D2="","",IF($K2="Completed","",MAX($Q$1:$Q1)+1))</f>
        <v>1</v>
      </c>
      <c r="R2" s="7" t="s">
        <v>60</v>
      </c>
    </row>
    <row r="3" customFormat="false" ht="15" hidden="false" customHeight="false" outlineLevel="0" collapsed="false">
      <c r="A3" s="5" t="n">
        <f aca="false">IF($D3="","",ROW()-1)</f>
        <v>2</v>
      </c>
      <c r="B3" s="6" t="n">
        <v>46276</v>
      </c>
      <c r="C3" s="7" t="s">
        <v>61</v>
      </c>
      <c r="D3" s="7" t="s">
        <v>62</v>
      </c>
      <c r="E3" s="7" t="s">
        <v>63</v>
      </c>
      <c r="F3" s="7" t="s">
        <v>64</v>
      </c>
      <c r="G3" s="8" t="s">
        <v>57</v>
      </c>
      <c r="H3" s="6" t="n">
        <v>46280</v>
      </c>
      <c r="I3" s="9" t="n">
        <v>46286</v>
      </c>
      <c r="J3" s="10" t="s">
        <v>65</v>
      </c>
      <c r="K3" s="8" t="s">
        <v>59</v>
      </c>
      <c r="L3" s="6"/>
      <c r="M3" s="11" t="n">
        <f aca="true">IF($D3="","",IF($K3="Completed",IF($L3="",$H3,$L3),IF($H3="","",IF($H3&lt;TODAY(),TODAY(),$H3))))</f>
        <v>46280</v>
      </c>
      <c r="N3" s="12" t="str">
        <f aca="true">IF($D3="","",IF($K3="Completed","Completed",IF($H3="","No Due Date",IF($H3&lt;TODAY(),"Carried Forward",IF($H3=TODAY(),"Due Today","Upcoming")))))</f>
        <v>Due Today</v>
      </c>
      <c r="O3" s="5" t="n">
        <f aca="true">IF($D3="","",IF($I3="","",IF($K3="Completed","",$I3-TODAY())))</f>
        <v>6</v>
      </c>
      <c r="P3" s="5" t="n">
        <f aca="true">IF($D3="","",IF($B3="","",IF($K3="Completed",IF($L3="","",$L3-$B3),TODAY()-$B3)))</f>
        <v>4</v>
      </c>
      <c r="Q3" s="5" t="n">
        <f aca="false">IF($D3="","",IF($K3="Completed","",MAX($Q$1:$Q2)+1))</f>
        <v>2</v>
      </c>
      <c r="R3" s="7" t="s">
        <v>66</v>
      </c>
    </row>
    <row r="4" customFormat="false" ht="15" hidden="false" customHeight="false" outlineLevel="0" collapsed="false">
      <c r="A4" s="5" t="n">
        <f aca="false">IF($D4="","",ROW()-1)</f>
        <v>3</v>
      </c>
      <c r="B4" s="6" t="n">
        <v>46276</v>
      </c>
      <c r="C4" s="7" t="s">
        <v>67</v>
      </c>
      <c r="D4" s="7" t="s">
        <v>68</v>
      </c>
      <c r="E4" s="7" t="s">
        <v>69</v>
      </c>
      <c r="F4" s="7" t="s">
        <v>70</v>
      </c>
      <c r="G4" s="8" t="s">
        <v>71</v>
      </c>
      <c r="H4" s="6" t="n">
        <v>46283</v>
      </c>
      <c r="I4" s="9" t="n">
        <v>46301</v>
      </c>
      <c r="J4" s="10" t="s">
        <v>72</v>
      </c>
      <c r="K4" s="8" t="s">
        <v>73</v>
      </c>
      <c r="L4" s="6"/>
      <c r="M4" s="11" t="n">
        <f aca="true">IF($D4="","",IF($K4="Completed",IF($L4="",$H4,$L4),IF($H4="","",IF($H4&lt;TODAY(),TODAY(),$H4))))</f>
        <v>46283</v>
      </c>
      <c r="N4" s="12" t="str">
        <f aca="true">IF($D4="","",IF($K4="Completed","Completed",IF($H4="","No Due Date",IF($H4&lt;TODAY(),"Carried Forward",IF($H4=TODAY(),"Due Today","Upcoming")))))</f>
        <v>Upcoming</v>
      </c>
      <c r="O4" s="5" t="n">
        <f aca="true">IF($D4="","",IF($I4="","",IF($K4="Completed","",$I4-TODAY())))</f>
        <v>21</v>
      </c>
      <c r="P4" s="5" t="n">
        <f aca="true">IF($D4="","",IF($B4="","",IF($K4="Completed",IF($L4="","",$L4-$B4),TODAY()-$B4)))</f>
        <v>4</v>
      </c>
      <c r="Q4" s="5" t="n">
        <f aca="false">IF($D4="","",IF($K4="Completed","",MAX($Q$1:$Q3)+1))</f>
        <v>3</v>
      </c>
      <c r="R4" s="7" t="s">
        <v>74</v>
      </c>
    </row>
    <row r="5" customFormat="false" ht="15" hidden="false" customHeight="false" outlineLevel="0" collapsed="false">
      <c r="A5" s="5" t="n">
        <f aca="false">IF($D5="","",ROW()-1)</f>
        <v>4</v>
      </c>
      <c r="B5" s="6" t="n">
        <v>46272</v>
      </c>
      <c r="C5" s="7" t="s">
        <v>75</v>
      </c>
      <c r="D5" s="7" t="s">
        <v>76</v>
      </c>
      <c r="E5" s="7" t="s">
        <v>77</v>
      </c>
      <c r="F5" s="7" t="s">
        <v>78</v>
      </c>
      <c r="G5" s="8" t="s">
        <v>71</v>
      </c>
      <c r="H5" s="6" t="n">
        <v>46275</v>
      </c>
      <c r="I5" s="9" t="n">
        <v>46275</v>
      </c>
      <c r="J5" s="10" t="s">
        <v>79</v>
      </c>
      <c r="K5" s="8" t="s">
        <v>80</v>
      </c>
      <c r="L5" s="6" t="n">
        <v>46275</v>
      </c>
      <c r="M5" s="11" t="n">
        <f aca="true">IF($D5="","",IF($K5="Completed",IF($L5="",$H5,$L5),IF($H5="","",IF($H5&lt;TODAY(),TODAY(),$H5))))</f>
        <v>46275</v>
      </c>
      <c r="N5" s="12" t="str">
        <f aca="true">IF($D5="","",IF($K5="Completed","Completed",IF($H5="","No Due Date",IF($H5&lt;TODAY(),"Carried Forward",IF($H5=TODAY(),"Due Today","Upcoming")))))</f>
        <v>Completed</v>
      </c>
      <c r="O5" s="5" t="str">
        <f aca="true">IF($D5="","",IF($I5="","",IF($K5="Completed","",$I5-TODAY())))</f>
        <v/>
      </c>
      <c r="P5" s="5" t="n">
        <f aca="true">IF($D5="","",IF($B5="","",IF($K5="Completed",IF($L5="","",$L5-$B5),TODAY()-$B5)))</f>
        <v>3</v>
      </c>
      <c r="Q5" s="5" t="str">
        <f aca="false">IF($D5="","",IF($K5="Completed","",MAX($Q$1:$Q4)+1))</f>
        <v/>
      </c>
      <c r="R5" s="7" t="s">
        <v>81</v>
      </c>
    </row>
    <row r="6" customFormat="false" ht="15" hidden="false" customHeight="false" outlineLevel="0" collapsed="false">
      <c r="A6" s="5" t="n">
        <f aca="false">IF($D6="","",ROW()-1)</f>
        <v>5</v>
      </c>
      <c r="B6" s="6" t="n">
        <v>46278</v>
      </c>
      <c r="C6" s="7" t="s">
        <v>82</v>
      </c>
      <c r="D6" s="7" t="s">
        <v>83</v>
      </c>
      <c r="E6" s="7" t="s">
        <v>84</v>
      </c>
      <c r="F6" s="7" t="s">
        <v>85</v>
      </c>
      <c r="G6" s="8" t="s">
        <v>86</v>
      </c>
      <c r="H6" s="6" t="n">
        <v>46285</v>
      </c>
      <c r="I6" s="9"/>
      <c r="J6" s="10"/>
      <c r="K6" s="8" t="s">
        <v>73</v>
      </c>
      <c r="L6" s="6"/>
      <c r="M6" s="11" t="n">
        <f aca="true">IF($D6="","",IF($K6="Completed",IF($L6="",$H6,$L6),IF($H6="","",IF($H6&lt;TODAY(),TODAY(),$H6))))</f>
        <v>46285</v>
      </c>
      <c r="N6" s="12" t="str">
        <f aca="true">IF($D6="","",IF($K6="Completed","Completed",IF($H6="","No Due Date",IF($H6&lt;TODAY(),"Carried Forward",IF($H6=TODAY(),"Due Today","Upcoming")))))</f>
        <v>Upcoming</v>
      </c>
      <c r="O6" s="5" t="str">
        <f aca="true">IF($D6="","",IF($I6="","",IF($K6="Completed","",$I6-TODAY())))</f>
        <v/>
      </c>
      <c r="P6" s="5" t="n">
        <f aca="true">IF($D6="","",IF($B6="","",IF($K6="Completed",IF($L6="","",$L6-$B6),TODAY()-$B6)))</f>
        <v>2</v>
      </c>
      <c r="Q6" s="5" t="n">
        <f aca="false">IF($D6="","",IF($K6="Completed","",MAX($Q$1:$Q5)+1))</f>
        <v>4</v>
      </c>
      <c r="R6" s="7" t="s">
        <v>87</v>
      </c>
    </row>
    <row r="7" customFormat="false" ht="15" hidden="false" customHeight="false" outlineLevel="0" collapsed="false">
      <c r="A7" s="5" t="n">
        <f aca="false">IF($D7="","",ROW()-1)</f>
        <v>6</v>
      </c>
      <c r="B7" s="6" t="n">
        <v>46279</v>
      </c>
      <c r="C7" s="7" t="s">
        <v>88</v>
      </c>
      <c r="D7" s="7" t="s">
        <v>89</v>
      </c>
      <c r="E7" s="7" t="s">
        <v>90</v>
      </c>
      <c r="F7" s="7" t="s">
        <v>78</v>
      </c>
      <c r="G7" s="8" t="s">
        <v>57</v>
      </c>
      <c r="H7" s="6" t="n">
        <v>46281</v>
      </c>
      <c r="I7" s="9" t="n">
        <v>46282</v>
      </c>
      <c r="J7" s="10" t="s">
        <v>91</v>
      </c>
      <c r="K7" s="8" t="s">
        <v>59</v>
      </c>
      <c r="L7" s="6"/>
      <c r="M7" s="11" t="n">
        <f aca="true">IF($D7="","",IF($K7="Completed",IF($L7="",$H7,$L7),IF($H7="","",IF($H7&lt;TODAY(),TODAY(),$H7))))</f>
        <v>46281</v>
      </c>
      <c r="N7" s="12" t="str">
        <f aca="true">IF($D7="","",IF($K7="Completed","Completed",IF($H7="","No Due Date",IF($H7&lt;TODAY(),"Carried Forward",IF($H7=TODAY(),"Due Today","Upcoming")))))</f>
        <v>Upcoming</v>
      </c>
      <c r="O7" s="5" t="n">
        <f aca="true">IF($D7="","",IF($I7="","",IF($K7="Completed","",$I7-TODAY())))</f>
        <v>2</v>
      </c>
      <c r="P7" s="5" t="n">
        <f aca="true">IF($D7="","",IF($B7="","",IF($K7="Completed",IF($L7="","",$L7-$B7),TODAY()-$B7)))</f>
        <v>1</v>
      </c>
      <c r="Q7" s="5" t="n">
        <f aca="false">IF($D7="","",IF($K7="Completed","",MAX($Q$1:$Q6)+1))</f>
        <v>5</v>
      </c>
      <c r="R7" s="7" t="s">
        <v>74</v>
      </c>
    </row>
    <row r="8" customFormat="false" ht="15" hidden="false" customHeight="false" outlineLevel="0" collapsed="false">
      <c r="A8" s="5" t="str">
        <f aca="false">IF($D8="","",ROW()-1)</f>
        <v/>
      </c>
      <c r="B8" s="6"/>
      <c r="C8" s="7"/>
      <c r="D8" s="7"/>
      <c r="E8" s="7"/>
      <c r="F8" s="7"/>
      <c r="G8" s="8"/>
      <c r="H8" s="6"/>
      <c r="I8" s="9"/>
      <c r="J8" s="10"/>
      <c r="K8" s="8"/>
      <c r="L8" s="6"/>
      <c r="M8" s="11" t="str">
        <f aca="true">IF($D8="","",IF($K8="Completed",IF($L8="",$H8,$L8),IF($H8="","",IF($H8&lt;TODAY(),TODAY(),$H8))))</f>
        <v/>
      </c>
      <c r="N8" s="12" t="str">
        <f aca="true">IF($D8="","",IF($K8="Completed","Completed",IF($H8="","No Due Date",IF($H8&lt;TODAY(),"Carried Forward",IF($H8=TODAY(),"Due Today","Upcoming")))))</f>
        <v/>
      </c>
      <c r="O8" s="5" t="str">
        <f aca="true">IF($D8="","",IF($I8="","",IF($K8="Completed","",$I8-TODAY())))</f>
        <v/>
      </c>
      <c r="P8" s="5" t="str">
        <f aca="true">IF($D8="","",IF($B8="","",IF($K8="Completed",IF($L8="","",$L8-$B8),TODAY()-$B8)))</f>
        <v/>
      </c>
      <c r="Q8" s="5" t="str">
        <f aca="false">IF($D8="","",IF($K8="Completed","",MAX($Q$1:$Q7)+1))</f>
        <v/>
      </c>
      <c r="R8" s="7"/>
    </row>
    <row r="9" customFormat="false" ht="15" hidden="false" customHeight="false" outlineLevel="0" collapsed="false">
      <c r="A9" s="5" t="str">
        <f aca="false">IF($D9="","",ROW()-1)</f>
        <v/>
      </c>
      <c r="B9" s="6"/>
      <c r="C9" s="7"/>
      <c r="D9" s="7"/>
      <c r="E9" s="7"/>
      <c r="F9" s="7"/>
      <c r="G9" s="8"/>
      <c r="H9" s="6"/>
      <c r="I9" s="9"/>
      <c r="J9" s="10"/>
      <c r="K9" s="8"/>
      <c r="L9" s="6"/>
      <c r="M9" s="11" t="str">
        <f aca="true">IF($D9="","",IF($K9="Completed",IF($L9="",$H9,$L9),IF($H9="","",IF($H9&lt;TODAY(),TODAY(),$H9))))</f>
        <v/>
      </c>
      <c r="N9" s="12" t="str">
        <f aca="true">IF($D9="","",IF($K9="Completed","Completed",IF($H9="","No Due Date",IF($H9&lt;TODAY(),"Carried Forward",IF($H9=TODAY(),"Due Today","Upcoming")))))</f>
        <v/>
      </c>
      <c r="O9" s="5" t="str">
        <f aca="true">IF($D9="","",IF($I9="","",IF($K9="Completed","",$I9-TODAY())))</f>
        <v/>
      </c>
      <c r="P9" s="5" t="str">
        <f aca="true">IF($D9="","",IF($B9="","",IF($K9="Completed",IF($L9="","",$L9-$B9),TODAY()-$B9)))</f>
        <v/>
      </c>
      <c r="Q9" s="5" t="str">
        <f aca="false">IF($D9="","",IF($K9="Completed","",MAX($Q$1:$Q8)+1))</f>
        <v/>
      </c>
      <c r="R9" s="7"/>
    </row>
    <row r="10" customFormat="false" ht="15" hidden="false" customHeight="false" outlineLevel="0" collapsed="false">
      <c r="A10" s="5" t="str">
        <f aca="false">IF($D10="","",ROW()-1)</f>
        <v/>
      </c>
      <c r="B10" s="6"/>
      <c r="C10" s="7"/>
      <c r="D10" s="7"/>
      <c r="E10" s="7"/>
      <c r="F10" s="7"/>
      <c r="G10" s="8"/>
      <c r="H10" s="6"/>
      <c r="I10" s="9"/>
      <c r="J10" s="10"/>
      <c r="K10" s="8"/>
      <c r="L10" s="6"/>
      <c r="M10" s="11" t="str">
        <f aca="true">IF($D10="","",IF($K10="Completed",IF($L10="",$H10,$L10),IF($H10="","",IF($H10&lt;TODAY(),TODAY(),$H10))))</f>
        <v/>
      </c>
      <c r="N10" s="12" t="str">
        <f aca="true">IF($D10="","",IF($K10="Completed","Completed",IF($H10="","No Due Date",IF($H10&lt;TODAY(),"Carried Forward",IF($H10=TODAY(),"Due Today","Upcoming")))))</f>
        <v/>
      </c>
      <c r="O10" s="5" t="str">
        <f aca="true">IF($D10="","",IF($I10="","",IF($K10="Completed","",$I10-TODAY())))</f>
        <v/>
      </c>
      <c r="P10" s="5" t="str">
        <f aca="true">IF($D10="","",IF($B10="","",IF($K10="Completed",IF($L10="","",$L10-$B10),TODAY()-$B10)))</f>
        <v/>
      </c>
      <c r="Q10" s="5" t="str">
        <f aca="false">IF($D10="","",IF($K10="Completed","",MAX($Q$1:$Q9)+1))</f>
        <v/>
      </c>
      <c r="R10" s="7"/>
    </row>
    <row r="11" customFormat="false" ht="15" hidden="false" customHeight="false" outlineLevel="0" collapsed="false">
      <c r="A11" s="5" t="str">
        <f aca="false">IF($D11="","",ROW()-1)</f>
        <v/>
      </c>
      <c r="B11" s="6"/>
      <c r="C11" s="7"/>
      <c r="D11" s="7"/>
      <c r="E11" s="7"/>
      <c r="F11" s="7"/>
      <c r="G11" s="8"/>
      <c r="H11" s="6"/>
      <c r="I11" s="9"/>
      <c r="J11" s="10"/>
      <c r="K11" s="8"/>
      <c r="L11" s="6"/>
      <c r="M11" s="11" t="str">
        <f aca="true">IF($D11="","",IF($K11="Completed",IF($L11="",$H11,$L11),IF($H11="","",IF($H11&lt;TODAY(),TODAY(),$H11))))</f>
        <v/>
      </c>
      <c r="N11" s="12" t="str">
        <f aca="true">IF($D11="","",IF($K11="Completed","Completed",IF($H11="","No Due Date",IF($H11&lt;TODAY(),"Carried Forward",IF($H11=TODAY(),"Due Today","Upcoming")))))</f>
        <v/>
      </c>
      <c r="O11" s="5" t="str">
        <f aca="true">IF($D11="","",IF($I11="","",IF($K11="Completed","",$I11-TODAY())))</f>
        <v/>
      </c>
      <c r="P11" s="5" t="str">
        <f aca="true">IF($D11="","",IF($B11="","",IF($K11="Completed",IF($L11="","",$L11-$B11),TODAY()-$B11)))</f>
        <v/>
      </c>
      <c r="Q11" s="5" t="str">
        <f aca="false">IF($D11="","",IF($K11="Completed","",MAX($Q$1:$Q10)+1))</f>
        <v/>
      </c>
      <c r="R11" s="7"/>
    </row>
    <row r="12" customFormat="false" ht="15" hidden="false" customHeight="false" outlineLevel="0" collapsed="false">
      <c r="A12" s="5" t="str">
        <f aca="false">IF($D12="","",ROW()-1)</f>
        <v/>
      </c>
      <c r="B12" s="6"/>
      <c r="C12" s="7"/>
      <c r="D12" s="7"/>
      <c r="E12" s="7"/>
      <c r="F12" s="7"/>
      <c r="G12" s="8"/>
      <c r="H12" s="6"/>
      <c r="I12" s="9"/>
      <c r="J12" s="10"/>
      <c r="K12" s="8"/>
      <c r="L12" s="6"/>
      <c r="M12" s="11" t="str">
        <f aca="true">IF($D12="","",IF($K12="Completed",IF($L12="",$H12,$L12),IF($H12="","",IF($H12&lt;TODAY(),TODAY(),$H12))))</f>
        <v/>
      </c>
      <c r="N12" s="12" t="str">
        <f aca="true">IF($D12="","",IF($K12="Completed","Completed",IF($H12="","No Due Date",IF($H12&lt;TODAY(),"Carried Forward",IF($H12=TODAY(),"Due Today","Upcoming")))))</f>
        <v/>
      </c>
      <c r="O12" s="5" t="str">
        <f aca="true">IF($D12="","",IF($I12="","",IF($K12="Completed","",$I12-TODAY())))</f>
        <v/>
      </c>
      <c r="P12" s="5" t="str">
        <f aca="true">IF($D12="","",IF($B12="","",IF($K12="Completed",IF($L12="","",$L12-$B12),TODAY()-$B12)))</f>
        <v/>
      </c>
      <c r="Q12" s="5" t="str">
        <f aca="false">IF($D12="","",IF($K12="Completed","",MAX($Q$1:$Q11)+1))</f>
        <v/>
      </c>
      <c r="R12" s="7"/>
    </row>
    <row r="13" customFormat="false" ht="15" hidden="false" customHeight="false" outlineLevel="0" collapsed="false">
      <c r="A13" s="5" t="str">
        <f aca="false">IF($D13="","",ROW()-1)</f>
        <v/>
      </c>
      <c r="B13" s="6"/>
      <c r="C13" s="7"/>
      <c r="D13" s="7"/>
      <c r="E13" s="7"/>
      <c r="F13" s="7"/>
      <c r="G13" s="8"/>
      <c r="H13" s="6"/>
      <c r="I13" s="9"/>
      <c r="J13" s="10"/>
      <c r="K13" s="8"/>
      <c r="L13" s="6"/>
      <c r="M13" s="11" t="str">
        <f aca="true">IF($D13="","",IF($K13="Completed",IF($L13="",$H13,$L13),IF($H13="","",IF($H13&lt;TODAY(),TODAY(),$H13))))</f>
        <v/>
      </c>
      <c r="N13" s="12" t="str">
        <f aca="true">IF($D13="","",IF($K13="Completed","Completed",IF($H13="","No Due Date",IF($H13&lt;TODAY(),"Carried Forward",IF($H13=TODAY(),"Due Today","Upcoming")))))</f>
        <v/>
      </c>
      <c r="O13" s="5" t="str">
        <f aca="true">IF($D13="","",IF($I13="","",IF($K13="Completed","",$I13-TODAY())))</f>
        <v/>
      </c>
      <c r="P13" s="5" t="str">
        <f aca="true">IF($D13="","",IF($B13="","",IF($K13="Completed",IF($L13="","",$L13-$B13),TODAY()-$B13)))</f>
        <v/>
      </c>
      <c r="Q13" s="5" t="str">
        <f aca="false">IF($D13="","",IF($K13="Completed","",MAX($Q$1:$Q12)+1))</f>
        <v/>
      </c>
      <c r="R13" s="7"/>
    </row>
    <row r="14" customFormat="false" ht="15" hidden="false" customHeight="false" outlineLevel="0" collapsed="false">
      <c r="A14" s="5" t="str">
        <f aca="false">IF($D14="","",ROW()-1)</f>
        <v/>
      </c>
      <c r="B14" s="6"/>
      <c r="C14" s="7"/>
      <c r="D14" s="7"/>
      <c r="E14" s="7"/>
      <c r="F14" s="7"/>
      <c r="G14" s="8"/>
      <c r="H14" s="6"/>
      <c r="I14" s="9"/>
      <c r="J14" s="10"/>
      <c r="K14" s="8"/>
      <c r="L14" s="6"/>
      <c r="M14" s="11" t="str">
        <f aca="true">IF($D14="","",IF($K14="Completed",IF($L14="",$H14,$L14),IF($H14="","",IF($H14&lt;TODAY(),TODAY(),$H14))))</f>
        <v/>
      </c>
      <c r="N14" s="12" t="str">
        <f aca="true">IF($D14="","",IF($K14="Completed","Completed",IF($H14="","No Due Date",IF($H14&lt;TODAY(),"Carried Forward",IF($H14=TODAY(),"Due Today","Upcoming")))))</f>
        <v/>
      </c>
      <c r="O14" s="5" t="str">
        <f aca="true">IF($D14="","",IF($I14="","",IF($K14="Completed","",$I14-TODAY())))</f>
        <v/>
      </c>
      <c r="P14" s="5" t="str">
        <f aca="true">IF($D14="","",IF($B14="","",IF($K14="Completed",IF($L14="","",$L14-$B14),TODAY()-$B14)))</f>
        <v/>
      </c>
      <c r="Q14" s="5" t="str">
        <f aca="false">IF($D14="","",IF($K14="Completed","",MAX($Q$1:$Q13)+1))</f>
        <v/>
      </c>
      <c r="R14" s="7"/>
    </row>
    <row r="15" customFormat="false" ht="15" hidden="false" customHeight="false" outlineLevel="0" collapsed="false">
      <c r="A15" s="5" t="str">
        <f aca="false">IF($D15="","",ROW()-1)</f>
        <v/>
      </c>
      <c r="B15" s="6"/>
      <c r="C15" s="7"/>
      <c r="D15" s="7"/>
      <c r="E15" s="7"/>
      <c r="F15" s="7"/>
      <c r="G15" s="8"/>
      <c r="H15" s="6"/>
      <c r="I15" s="9"/>
      <c r="J15" s="10"/>
      <c r="K15" s="8"/>
      <c r="L15" s="6"/>
      <c r="M15" s="11" t="str">
        <f aca="true">IF($D15="","",IF($K15="Completed",IF($L15="",$H15,$L15),IF($H15="","",IF($H15&lt;TODAY(),TODAY(),$H15))))</f>
        <v/>
      </c>
      <c r="N15" s="12" t="str">
        <f aca="true">IF($D15="","",IF($K15="Completed","Completed",IF($H15="","No Due Date",IF($H15&lt;TODAY(),"Carried Forward",IF($H15=TODAY(),"Due Today","Upcoming")))))</f>
        <v/>
      </c>
      <c r="O15" s="5" t="str">
        <f aca="true">IF($D15="","",IF($I15="","",IF($K15="Completed","",$I15-TODAY())))</f>
        <v/>
      </c>
      <c r="P15" s="5" t="str">
        <f aca="true">IF($D15="","",IF($B15="","",IF($K15="Completed",IF($L15="","",$L15-$B15),TODAY()-$B15)))</f>
        <v/>
      </c>
      <c r="Q15" s="5" t="str">
        <f aca="false">IF($D15="","",IF($K15="Completed","",MAX($Q$1:$Q14)+1))</f>
        <v/>
      </c>
      <c r="R15" s="7"/>
    </row>
    <row r="16" customFormat="false" ht="15" hidden="false" customHeight="false" outlineLevel="0" collapsed="false">
      <c r="A16" s="5" t="str">
        <f aca="false">IF($D16="","",ROW()-1)</f>
        <v/>
      </c>
      <c r="B16" s="6"/>
      <c r="C16" s="7"/>
      <c r="D16" s="7"/>
      <c r="E16" s="7"/>
      <c r="F16" s="7"/>
      <c r="G16" s="8"/>
      <c r="H16" s="6"/>
      <c r="I16" s="9"/>
      <c r="J16" s="10"/>
      <c r="K16" s="8"/>
      <c r="L16" s="6"/>
      <c r="M16" s="11" t="str">
        <f aca="true">IF($D16="","",IF($K16="Completed",IF($L16="",$H16,$L16),IF($H16="","",IF($H16&lt;TODAY(),TODAY(),$H16))))</f>
        <v/>
      </c>
      <c r="N16" s="12" t="str">
        <f aca="true">IF($D16="","",IF($K16="Completed","Completed",IF($H16="","No Due Date",IF($H16&lt;TODAY(),"Carried Forward",IF($H16=TODAY(),"Due Today","Upcoming")))))</f>
        <v/>
      </c>
      <c r="O16" s="5" t="str">
        <f aca="true">IF($D16="","",IF($I16="","",IF($K16="Completed","",$I16-TODAY())))</f>
        <v/>
      </c>
      <c r="P16" s="5" t="str">
        <f aca="true">IF($D16="","",IF($B16="","",IF($K16="Completed",IF($L16="","",$L16-$B16),TODAY()-$B16)))</f>
        <v/>
      </c>
      <c r="Q16" s="5" t="str">
        <f aca="false">IF($D16="","",IF($K16="Completed","",MAX($Q$1:$Q15)+1))</f>
        <v/>
      </c>
      <c r="R16" s="7"/>
    </row>
    <row r="17" customFormat="false" ht="15" hidden="false" customHeight="false" outlineLevel="0" collapsed="false">
      <c r="A17" s="5" t="str">
        <f aca="false">IF($D17="","",ROW()-1)</f>
        <v/>
      </c>
      <c r="B17" s="6"/>
      <c r="C17" s="7"/>
      <c r="D17" s="7"/>
      <c r="E17" s="7"/>
      <c r="F17" s="7"/>
      <c r="G17" s="8"/>
      <c r="H17" s="6"/>
      <c r="I17" s="9"/>
      <c r="J17" s="10"/>
      <c r="K17" s="8"/>
      <c r="L17" s="6"/>
      <c r="M17" s="11" t="str">
        <f aca="true">IF($D17="","",IF($K17="Completed",IF($L17="",$H17,$L17),IF($H17="","",IF($H17&lt;TODAY(),TODAY(),$H17))))</f>
        <v/>
      </c>
      <c r="N17" s="12" t="str">
        <f aca="true">IF($D17="","",IF($K17="Completed","Completed",IF($H17="","No Due Date",IF($H17&lt;TODAY(),"Carried Forward",IF($H17=TODAY(),"Due Today","Upcoming")))))</f>
        <v/>
      </c>
      <c r="O17" s="5" t="str">
        <f aca="true">IF($D17="","",IF($I17="","",IF($K17="Completed","",$I17-TODAY())))</f>
        <v/>
      </c>
      <c r="P17" s="5" t="str">
        <f aca="true">IF($D17="","",IF($B17="","",IF($K17="Completed",IF($L17="","",$L17-$B17),TODAY()-$B17)))</f>
        <v/>
      </c>
      <c r="Q17" s="5" t="str">
        <f aca="false">IF($D17="","",IF($K17="Completed","",MAX($Q$1:$Q16)+1))</f>
        <v/>
      </c>
      <c r="R17" s="7"/>
    </row>
    <row r="18" customFormat="false" ht="15" hidden="false" customHeight="false" outlineLevel="0" collapsed="false">
      <c r="A18" s="5" t="str">
        <f aca="false">IF($D18="","",ROW()-1)</f>
        <v/>
      </c>
      <c r="B18" s="6"/>
      <c r="C18" s="7"/>
      <c r="D18" s="7"/>
      <c r="E18" s="7"/>
      <c r="F18" s="7"/>
      <c r="G18" s="8"/>
      <c r="H18" s="6"/>
      <c r="I18" s="9"/>
      <c r="J18" s="10"/>
      <c r="K18" s="8"/>
      <c r="L18" s="6"/>
      <c r="M18" s="11" t="str">
        <f aca="true">IF($D18="","",IF($K18="Completed",IF($L18="",$H18,$L18),IF($H18="","",IF($H18&lt;TODAY(),TODAY(),$H18))))</f>
        <v/>
      </c>
      <c r="N18" s="12" t="str">
        <f aca="true">IF($D18="","",IF($K18="Completed","Completed",IF($H18="","No Due Date",IF($H18&lt;TODAY(),"Carried Forward",IF($H18=TODAY(),"Due Today","Upcoming")))))</f>
        <v/>
      </c>
      <c r="O18" s="5" t="str">
        <f aca="true">IF($D18="","",IF($I18="","",IF($K18="Completed","",$I18-TODAY())))</f>
        <v/>
      </c>
      <c r="P18" s="5" t="str">
        <f aca="true">IF($D18="","",IF($B18="","",IF($K18="Completed",IF($L18="","",$L18-$B18),TODAY()-$B18)))</f>
        <v/>
      </c>
      <c r="Q18" s="5" t="str">
        <f aca="false">IF($D18="","",IF($K18="Completed","",MAX($Q$1:$Q17)+1))</f>
        <v/>
      </c>
      <c r="R18" s="7"/>
    </row>
    <row r="19" customFormat="false" ht="15" hidden="false" customHeight="false" outlineLevel="0" collapsed="false">
      <c r="A19" s="5" t="str">
        <f aca="false">IF($D19="","",ROW()-1)</f>
        <v/>
      </c>
      <c r="B19" s="6"/>
      <c r="C19" s="7"/>
      <c r="D19" s="7"/>
      <c r="E19" s="7"/>
      <c r="F19" s="7"/>
      <c r="G19" s="8"/>
      <c r="H19" s="6"/>
      <c r="I19" s="9"/>
      <c r="J19" s="10"/>
      <c r="K19" s="8"/>
      <c r="L19" s="6"/>
      <c r="M19" s="11" t="str">
        <f aca="true">IF($D19="","",IF($K19="Completed",IF($L19="",$H19,$L19),IF($H19="","",IF($H19&lt;TODAY(),TODAY(),$H19))))</f>
        <v/>
      </c>
      <c r="N19" s="12" t="str">
        <f aca="true">IF($D19="","",IF($K19="Completed","Completed",IF($H19="","No Due Date",IF($H19&lt;TODAY(),"Carried Forward",IF($H19=TODAY(),"Due Today","Upcoming")))))</f>
        <v/>
      </c>
      <c r="O19" s="5" t="str">
        <f aca="true">IF($D19="","",IF($I19="","",IF($K19="Completed","",$I19-TODAY())))</f>
        <v/>
      </c>
      <c r="P19" s="5" t="str">
        <f aca="true">IF($D19="","",IF($B19="","",IF($K19="Completed",IF($L19="","",$L19-$B19),TODAY()-$B19)))</f>
        <v/>
      </c>
      <c r="Q19" s="5" t="str">
        <f aca="false">IF($D19="","",IF($K19="Completed","",MAX($Q$1:$Q18)+1))</f>
        <v/>
      </c>
      <c r="R19" s="7"/>
    </row>
    <row r="20" customFormat="false" ht="15" hidden="false" customHeight="false" outlineLevel="0" collapsed="false">
      <c r="A20" s="5" t="str">
        <f aca="false">IF($D20="","",ROW()-1)</f>
        <v/>
      </c>
      <c r="B20" s="6"/>
      <c r="C20" s="7"/>
      <c r="D20" s="7"/>
      <c r="E20" s="7"/>
      <c r="F20" s="7"/>
      <c r="G20" s="8"/>
      <c r="H20" s="6"/>
      <c r="I20" s="9"/>
      <c r="J20" s="10"/>
      <c r="K20" s="8"/>
      <c r="L20" s="6"/>
      <c r="M20" s="11" t="str">
        <f aca="true">IF($D20="","",IF($K20="Completed",IF($L20="",$H20,$L20),IF($H20="","",IF($H20&lt;TODAY(),TODAY(),$H20))))</f>
        <v/>
      </c>
      <c r="N20" s="12" t="str">
        <f aca="true">IF($D20="","",IF($K20="Completed","Completed",IF($H20="","No Due Date",IF($H20&lt;TODAY(),"Carried Forward",IF($H20=TODAY(),"Due Today","Upcoming")))))</f>
        <v/>
      </c>
      <c r="O20" s="5" t="str">
        <f aca="true">IF($D20="","",IF($I20="","",IF($K20="Completed","",$I20-TODAY())))</f>
        <v/>
      </c>
      <c r="P20" s="5" t="str">
        <f aca="true">IF($D20="","",IF($B20="","",IF($K20="Completed",IF($L20="","",$L20-$B20),TODAY()-$B20)))</f>
        <v/>
      </c>
      <c r="Q20" s="5" t="str">
        <f aca="false">IF($D20="","",IF($K20="Completed","",MAX($Q$1:$Q19)+1))</f>
        <v/>
      </c>
      <c r="R20" s="7"/>
    </row>
    <row r="21" customFormat="false" ht="15" hidden="false" customHeight="false" outlineLevel="0" collapsed="false">
      <c r="A21" s="5" t="str">
        <f aca="false">IF($D21="","",ROW()-1)</f>
        <v/>
      </c>
      <c r="B21" s="6"/>
      <c r="C21" s="7"/>
      <c r="D21" s="7"/>
      <c r="E21" s="7"/>
      <c r="F21" s="7"/>
      <c r="G21" s="8"/>
      <c r="H21" s="6"/>
      <c r="I21" s="9"/>
      <c r="J21" s="10"/>
      <c r="K21" s="8"/>
      <c r="L21" s="6"/>
      <c r="M21" s="11" t="str">
        <f aca="true">IF($D21="","",IF($K21="Completed",IF($L21="",$H21,$L21),IF($H21="","",IF($H21&lt;TODAY(),TODAY(),$H21))))</f>
        <v/>
      </c>
      <c r="N21" s="12" t="str">
        <f aca="true">IF($D21="","",IF($K21="Completed","Completed",IF($H21="","No Due Date",IF($H21&lt;TODAY(),"Carried Forward",IF($H21=TODAY(),"Due Today","Upcoming")))))</f>
        <v/>
      </c>
      <c r="O21" s="5" t="str">
        <f aca="true">IF($D21="","",IF($I21="","",IF($K21="Completed","",$I21-TODAY())))</f>
        <v/>
      </c>
      <c r="P21" s="5" t="str">
        <f aca="true">IF($D21="","",IF($B21="","",IF($K21="Completed",IF($L21="","",$L21-$B21),TODAY()-$B21)))</f>
        <v/>
      </c>
      <c r="Q21" s="5" t="str">
        <f aca="false">IF($D21="","",IF($K21="Completed","",MAX($Q$1:$Q20)+1))</f>
        <v/>
      </c>
      <c r="R21" s="7"/>
    </row>
    <row r="22" customFormat="false" ht="15" hidden="false" customHeight="false" outlineLevel="0" collapsed="false">
      <c r="A22" s="5" t="str">
        <f aca="false">IF($D22="","",ROW()-1)</f>
        <v/>
      </c>
      <c r="B22" s="6"/>
      <c r="C22" s="7"/>
      <c r="D22" s="7"/>
      <c r="E22" s="7"/>
      <c r="F22" s="7"/>
      <c r="G22" s="8"/>
      <c r="H22" s="6"/>
      <c r="I22" s="9"/>
      <c r="J22" s="10"/>
      <c r="K22" s="8"/>
      <c r="L22" s="6"/>
      <c r="M22" s="11" t="str">
        <f aca="true">IF($D22="","",IF($K22="Completed",IF($L22="",$H22,$L22),IF($H22="","",IF($H22&lt;TODAY(),TODAY(),$H22))))</f>
        <v/>
      </c>
      <c r="N22" s="12" t="str">
        <f aca="true">IF($D22="","",IF($K22="Completed","Completed",IF($H22="","No Due Date",IF($H22&lt;TODAY(),"Carried Forward",IF($H22=TODAY(),"Due Today","Upcoming")))))</f>
        <v/>
      </c>
      <c r="O22" s="5" t="str">
        <f aca="true">IF($D22="","",IF($I22="","",IF($K22="Completed","",$I22-TODAY())))</f>
        <v/>
      </c>
      <c r="P22" s="5" t="str">
        <f aca="true">IF($D22="","",IF($B22="","",IF($K22="Completed",IF($L22="","",$L22-$B22),TODAY()-$B22)))</f>
        <v/>
      </c>
      <c r="Q22" s="5" t="str">
        <f aca="false">IF($D22="","",IF($K22="Completed","",MAX($Q$1:$Q21)+1))</f>
        <v/>
      </c>
      <c r="R22" s="7"/>
    </row>
    <row r="23" customFormat="false" ht="15" hidden="false" customHeight="false" outlineLevel="0" collapsed="false">
      <c r="A23" s="5" t="str">
        <f aca="false">IF($D23="","",ROW()-1)</f>
        <v/>
      </c>
      <c r="B23" s="6"/>
      <c r="C23" s="7"/>
      <c r="D23" s="7"/>
      <c r="E23" s="7"/>
      <c r="F23" s="7"/>
      <c r="G23" s="8"/>
      <c r="H23" s="6"/>
      <c r="I23" s="9"/>
      <c r="J23" s="10"/>
      <c r="K23" s="8"/>
      <c r="L23" s="6"/>
      <c r="M23" s="11" t="str">
        <f aca="true">IF($D23="","",IF($K23="Completed",IF($L23="",$H23,$L23),IF($H23="","",IF($H23&lt;TODAY(),TODAY(),$H23))))</f>
        <v/>
      </c>
      <c r="N23" s="12" t="str">
        <f aca="true">IF($D23="","",IF($K23="Completed","Completed",IF($H23="","No Due Date",IF($H23&lt;TODAY(),"Carried Forward",IF($H23=TODAY(),"Due Today","Upcoming")))))</f>
        <v/>
      </c>
      <c r="O23" s="5" t="str">
        <f aca="true">IF($D23="","",IF($I23="","",IF($K23="Completed","",$I23-TODAY())))</f>
        <v/>
      </c>
      <c r="P23" s="5" t="str">
        <f aca="true">IF($D23="","",IF($B23="","",IF($K23="Completed",IF($L23="","",$L23-$B23),TODAY()-$B23)))</f>
        <v/>
      </c>
      <c r="Q23" s="5" t="str">
        <f aca="false">IF($D23="","",IF($K23="Completed","",MAX($Q$1:$Q22)+1))</f>
        <v/>
      </c>
      <c r="R23" s="7"/>
    </row>
    <row r="24" customFormat="false" ht="15" hidden="false" customHeight="false" outlineLevel="0" collapsed="false">
      <c r="A24" s="5" t="str">
        <f aca="false">IF($D24="","",ROW()-1)</f>
        <v/>
      </c>
      <c r="B24" s="6"/>
      <c r="C24" s="7"/>
      <c r="D24" s="7"/>
      <c r="E24" s="7"/>
      <c r="F24" s="7"/>
      <c r="G24" s="8"/>
      <c r="H24" s="6"/>
      <c r="I24" s="9"/>
      <c r="J24" s="10"/>
      <c r="K24" s="8"/>
      <c r="L24" s="6"/>
      <c r="M24" s="11" t="str">
        <f aca="true">IF($D24="","",IF($K24="Completed",IF($L24="",$H24,$L24),IF($H24="","",IF($H24&lt;TODAY(),TODAY(),$H24))))</f>
        <v/>
      </c>
      <c r="N24" s="12" t="str">
        <f aca="true">IF($D24="","",IF($K24="Completed","Completed",IF($H24="","No Due Date",IF($H24&lt;TODAY(),"Carried Forward",IF($H24=TODAY(),"Due Today","Upcoming")))))</f>
        <v/>
      </c>
      <c r="O24" s="5" t="str">
        <f aca="true">IF($D24="","",IF($I24="","",IF($K24="Completed","",$I24-TODAY())))</f>
        <v/>
      </c>
      <c r="P24" s="5" t="str">
        <f aca="true">IF($D24="","",IF($B24="","",IF($K24="Completed",IF($L24="","",$L24-$B24),TODAY()-$B24)))</f>
        <v/>
      </c>
      <c r="Q24" s="5" t="str">
        <f aca="false">IF($D24="","",IF($K24="Completed","",MAX($Q$1:$Q23)+1))</f>
        <v/>
      </c>
      <c r="R24" s="7"/>
    </row>
    <row r="25" customFormat="false" ht="15" hidden="false" customHeight="false" outlineLevel="0" collapsed="false">
      <c r="A25" s="5" t="str">
        <f aca="false">IF($D25="","",ROW()-1)</f>
        <v/>
      </c>
      <c r="B25" s="6"/>
      <c r="C25" s="7"/>
      <c r="D25" s="7"/>
      <c r="E25" s="7"/>
      <c r="F25" s="7"/>
      <c r="G25" s="8"/>
      <c r="H25" s="6"/>
      <c r="I25" s="9"/>
      <c r="J25" s="10"/>
      <c r="K25" s="8"/>
      <c r="L25" s="6"/>
      <c r="M25" s="11" t="str">
        <f aca="true">IF($D25="","",IF($K25="Completed",IF($L25="",$H25,$L25),IF($H25="","",IF($H25&lt;TODAY(),TODAY(),$H25))))</f>
        <v/>
      </c>
      <c r="N25" s="12" t="str">
        <f aca="true">IF($D25="","",IF($K25="Completed","Completed",IF($H25="","No Due Date",IF($H25&lt;TODAY(),"Carried Forward",IF($H25=TODAY(),"Due Today","Upcoming")))))</f>
        <v/>
      </c>
      <c r="O25" s="5" t="str">
        <f aca="true">IF($D25="","",IF($I25="","",IF($K25="Completed","",$I25-TODAY())))</f>
        <v/>
      </c>
      <c r="P25" s="5" t="str">
        <f aca="true">IF($D25="","",IF($B25="","",IF($K25="Completed",IF($L25="","",$L25-$B25),TODAY()-$B25)))</f>
        <v/>
      </c>
      <c r="Q25" s="5" t="str">
        <f aca="false">IF($D25="","",IF($K25="Completed","",MAX($Q$1:$Q24)+1))</f>
        <v/>
      </c>
      <c r="R25" s="7"/>
    </row>
    <row r="26" customFormat="false" ht="15" hidden="false" customHeight="false" outlineLevel="0" collapsed="false">
      <c r="A26" s="5" t="str">
        <f aca="false">IF($D26="","",ROW()-1)</f>
        <v/>
      </c>
      <c r="B26" s="6"/>
      <c r="C26" s="7"/>
      <c r="D26" s="7"/>
      <c r="E26" s="7"/>
      <c r="F26" s="7"/>
      <c r="G26" s="8"/>
      <c r="H26" s="6"/>
      <c r="I26" s="9"/>
      <c r="J26" s="10"/>
      <c r="K26" s="8"/>
      <c r="L26" s="6"/>
      <c r="M26" s="11" t="str">
        <f aca="true">IF($D26="","",IF($K26="Completed",IF($L26="",$H26,$L26),IF($H26="","",IF($H26&lt;TODAY(),TODAY(),$H26))))</f>
        <v/>
      </c>
      <c r="N26" s="12" t="str">
        <f aca="true">IF($D26="","",IF($K26="Completed","Completed",IF($H26="","No Due Date",IF($H26&lt;TODAY(),"Carried Forward",IF($H26=TODAY(),"Due Today","Upcoming")))))</f>
        <v/>
      </c>
      <c r="O26" s="5" t="str">
        <f aca="true">IF($D26="","",IF($I26="","",IF($K26="Completed","",$I26-TODAY())))</f>
        <v/>
      </c>
      <c r="P26" s="5" t="str">
        <f aca="true">IF($D26="","",IF($B26="","",IF($K26="Completed",IF($L26="","",$L26-$B26),TODAY()-$B26)))</f>
        <v/>
      </c>
      <c r="Q26" s="5" t="str">
        <f aca="false">IF($D26="","",IF($K26="Completed","",MAX($Q$1:$Q25)+1))</f>
        <v/>
      </c>
      <c r="R26" s="7"/>
    </row>
    <row r="27" customFormat="false" ht="15" hidden="false" customHeight="false" outlineLevel="0" collapsed="false">
      <c r="A27" s="5" t="str">
        <f aca="false">IF($D27="","",ROW()-1)</f>
        <v/>
      </c>
      <c r="B27" s="6"/>
      <c r="C27" s="7"/>
      <c r="D27" s="7"/>
      <c r="E27" s="7"/>
      <c r="F27" s="7"/>
      <c r="G27" s="8"/>
      <c r="H27" s="6"/>
      <c r="I27" s="9"/>
      <c r="J27" s="10"/>
      <c r="K27" s="8"/>
      <c r="L27" s="6"/>
      <c r="M27" s="11" t="str">
        <f aca="true">IF($D27="","",IF($K27="Completed",IF($L27="",$H27,$L27),IF($H27="","",IF($H27&lt;TODAY(),TODAY(),$H27))))</f>
        <v/>
      </c>
      <c r="N27" s="12" t="str">
        <f aca="true">IF($D27="","",IF($K27="Completed","Completed",IF($H27="","No Due Date",IF($H27&lt;TODAY(),"Carried Forward",IF($H27=TODAY(),"Due Today","Upcoming")))))</f>
        <v/>
      </c>
      <c r="O27" s="5" t="str">
        <f aca="true">IF($D27="","",IF($I27="","",IF($K27="Completed","",$I27-TODAY())))</f>
        <v/>
      </c>
      <c r="P27" s="5" t="str">
        <f aca="true">IF($D27="","",IF($B27="","",IF($K27="Completed",IF($L27="","",$L27-$B27),TODAY()-$B27)))</f>
        <v/>
      </c>
      <c r="Q27" s="5" t="str">
        <f aca="false">IF($D27="","",IF($K27="Completed","",MAX($Q$1:$Q26)+1))</f>
        <v/>
      </c>
      <c r="R27" s="7"/>
    </row>
    <row r="28" customFormat="false" ht="15" hidden="false" customHeight="false" outlineLevel="0" collapsed="false">
      <c r="A28" s="5" t="str">
        <f aca="false">IF($D28="","",ROW()-1)</f>
        <v/>
      </c>
      <c r="B28" s="6"/>
      <c r="C28" s="7"/>
      <c r="D28" s="7"/>
      <c r="E28" s="7"/>
      <c r="F28" s="7"/>
      <c r="G28" s="8"/>
      <c r="H28" s="6"/>
      <c r="I28" s="9"/>
      <c r="J28" s="10"/>
      <c r="K28" s="8"/>
      <c r="L28" s="6"/>
      <c r="M28" s="11" t="str">
        <f aca="true">IF($D28="","",IF($K28="Completed",IF($L28="",$H28,$L28),IF($H28="","",IF($H28&lt;TODAY(),TODAY(),$H28))))</f>
        <v/>
      </c>
      <c r="N28" s="12" t="str">
        <f aca="true">IF($D28="","",IF($K28="Completed","Completed",IF($H28="","No Due Date",IF($H28&lt;TODAY(),"Carried Forward",IF($H28=TODAY(),"Due Today","Upcoming")))))</f>
        <v/>
      </c>
      <c r="O28" s="5" t="str">
        <f aca="true">IF($D28="","",IF($I28="","",IF($K28="Completed","",$I28-TODAY())))</f>
        <v/>
      </c>
      <c r="P28" s="5" t="str">
        <f aca="true">IF($D28="","",IF($B28="","",IF($K28="Completed",IF($L28="","",$L28-$B28),TODAY()-$B28)))</f>
        <v/>
      </c>
      <c r="Q28" s="5" t="str">
        <f aca="false">IF($D28="","",IF($K28="Completed","",MAX($Q$1:$Q27)+1))</f>
        <v/>
      </c>
      <c r="R28" s="7"/>
    </row>
    <row r="29" customFormat="false" ht="15" hidden="false" customHeight="false" outlineLevel="0" collapsed="false">
      <c r="A29" s="5" t="str">
        <f aca="false">IF($D29="","",ROW()-1)</f>
        <v/>
      </c>
      <c r="B29" s="6"/>
      <c r="C29" s="7"/>
      <c r="D29" s="7"/>
      <c r="E29" s="7"/>
      <c r="F29" s="7"/>
      <c r="G29" s="8"/>
      <c r="H29" s="6"/>
      <c r="I29" s="9"/>
      <c r="J29" s="10"/>
      <c r="K29" s="8"/>
      <c r="L29" s="6"/>
      <c r="M29" s="11" t="str">
        <f aca="true">IF($D29="","",IF($K29="Completed",IF($L29="",$H29,$L29),IF($H29="","",IF($H29&lt;TODAY(),TODAY(),$H29))))</f>
        <v/>
      </c>
      <c r="N29" s="12" t="str">
        <f aca="true">IF($D29="","",IF($K29="Completed","Completed",IF($H29="","No Due Date",IF($H29&lt;TODAY(),"Carried Forward",IF($H29=TODAY(),"Due Today","Upcoming")))))</f>
        <v/>
      </c>
      <c r="O29" s="5" t="str">
        <f aca="true">IF($D29="","",IF($I29="","",IF($K29="Completed","",$I29-TODAY())))</f>
        <v/>
      </c>
      <c r="P29" s="5" t="str">
        <f aca="true">IF($D29="","",IF($B29="","",IF($K29="Completed",IF($L29="","",$L29-$B29),TODAY()-$B29)))</f>
        <v/>
      </c>
      <c r="Q29" s="5" t="str">
        <f aca="false">IF($D29="","",IF($K29="Completed","",MAX($Q$1:$Q28)+1))</f>
        <v/>
      </c>
      <c r="R29" s="7"/>
    </row>
    <row r="30" customFormat="false" ht="15" hidden="false" customHeight="false" outlineLevel="0" collapsed="false">
      <c r="A30" s="5" t="str">
        <f aca="false">IF($D30="","",ROW()-1)</f>
        <v/>
      </c>
      <c r="B30" s="6"/>
      <c r="C30" s="7"/>
      <c r="D30" s="7"/>
      <c r="E30" s="7"/>
      <c r="F30" s="7"/>
      <c r="G30" s="8"/>
      <c r="H30" s="6"/>
      <c r="I30" s="9"/>
      <c r="J30" s="10"/>
      <c r="K30" s="8"/>
      <c r="L30" s="6"/>
      <c r="M30" s="11" t="str">
        <f aca="true">IF($D30="","",IF($K30="Completed",IF($L30="",$H30,$L30),IF($H30="","",IF($H30&lt;TODAY(),TODAY(),$H30))))</f>
        <v/>
      </c>
      <c r="N30" s="12" t="str">
        <f aca="true">IF($D30="","",IF($K30="Completed","Completed",IF($H30="","No Due Date",IF($H30&lt;TODAY(),"Carried Forward",IF($H30=TODAY(),"Due Today","Upcoming")))))</f>
        <v/>
      </c>
      <c r="O30" s="5" t="str">
        <f aca="true">IF($D30="","",IF($I30="","",IF($K30="Completed","",$I30-TODAY())))</f>
        <v/>
      </c>
      <c r="P30" s="5" t="str">
        <f aca="true">IF($D30="","",IF($B30="","",IF($K30="Completed",IF($L30="","",$L30-$B30),TODAY()-$B30)))</f>
        <v/>
      </c>
      <c r="Q30" s="5" t="str">
        <f aca="false">IF($D30="","",IF($K30="Completed","",MAX($Q$1:$Q29)+1))</f>
        <v/>
      </c>
      <c r="R30" s="7"/>
    </row>
    <row r="31" customFormat="false" ht="15" hidden="false" customHeight="false" outlineLevel="0" collapsed="false">
      <c r="A31" s="5" t="str">
        <f aca="false">IF($D31="","",ROW()-1)</f>
        <v/>
      </c>
      <c r="B31" s="6"/>
      <c r="C31" s="7"/>
      <c r="D31" s="7"/>
      <c r="E31" s="7"/>
      <c r="F31" s="7"/>
      <c r="G31" s="8"/>
      <c r="H31" s="6"/>
      <c r="I31" s="9"/>
      <c r="J31" s="10"/>
      <c r="K31" s="8"/>
      <c r="L31" s="6"/>
      <c r="M31" s="11" t="str">
        <f aca="true">IF($D31="","",IF($K31="Completed",IF($L31="",$H31,$L31),IF($H31="","",IF($H31&lt;TODAY(),TODAY(),$H31))))</f>
        <v/>
      </c>
      <c r="N31" s="12" t="str">
        <f aca="true">IF($D31="","",IF($K31="Completed","Completed",IF($H31="","No Due Date",IF($H31&lt;TODAY(),"Carried Forward",IF($H31=TODAY(),"Due Today","Upcoming")))))</f>
        <v/>
      </c>
      <c r="O31" s="5" t="str">
        <f aca="true">IF($D31="","",IF($I31="","",IF($K31="Completed","",$I31-TODAY())))</f>
        <v/>
      </c>
      <c r="P31" s="5" t="str">
        <f aca="true">IF($D31="","",IF($B31="","",IF($K31="Completed",IF($L31="","",$L31-$B31),TODAY()-$B31)))</f>
        <v/>
      </c>
      <c r="Q31" s="5" t="str">
        <f aca="false">IF($D31="","",IF($K31="Completed","",MAX($Q$1:$Q30)+1))</f>
        <v/>
      </c>
      <c r="R31" s="7"/>
    </row>
    <row r="32" customFormat="false" ht="15" hidden="false" customHeight="false" outlineLevel="0" collapsed="false">
      <c r="A32" s="5" t="str">
        <f aca="false">IF($D32="","",ROW()-1)</f>
        <v/>
      </c>
      <c r="B32" s="6"/>
      <c r="C32" s="7"/>
      <c r="D32" s="7"/>
      <c r="E32" s="7"/>
      <c r="F32" s="7"/>
      <c r="G32" s="8"/>
      <c r="H32" s="6"/>
      <c r="I32" s="9"/>
      <c r="J32" s="10"/>
      <c r="K32" s="8"/>
      <c r="L32" s="6"/>
      <c r="M32" s="11" t="str">
        <f aca="true">IF($D32="","",IF($K32="Completed",IF($L32="",$H32,$L32),IF($H32="","",IF($H32&lt;TODAY(),TODAY(),$H32))))</f>
        <v/>
      </c>
      <c r="N32" s="12" t="str">
        <f aca="true">IF($D32="","",IF($K32="Completed","Completed",IF($H32="","No Due Date",IF($H32&lt;TODAY(),"Carried Forward",IF($H32=TODAY(),"Due Today","Upcoming")))))</f>
        <v/>
      </c>
      <c r="O32" s="5" t="str">
        <f aca="true">IF($D32="","",IF($I32="","",IF($K32="Completed","",$I32-TODAY())))</f>
        <v/>
      </c>
      <c r="P32" s="5" t="str">
        <f aca="true">IF($D32="","",IF($B32="","",IF($K32="Completed",IF($L32="","",$L32-$B32),TODAY()-$B32)))</f>
        <v/>
      </c>
      <c r="Q32" s="5" t="str">
        <f aca="false">IF($D32="","",IF($K32="Completed","",MAX($Q$1:$Q31)+1))</f>
        <v/>
      </c>
      <c r="R32" s="7"/>
    </row>
    <row r="33" customFormat="false" ht="15" hidden="false" customHeight="false" outlineLevel="0" collapsed="false">
      <c r="A33" s="5" t="str">
        <f aca="false">IF($D33="","",ROW()-1)</f>
        <v/>
      </c>
      <c r="B33" s="6"/>
      <c r="C33" s="7"/>
      <c r="D33" s="7"/>
      <c r="E33" s="7"/>
      <c r="F33" s="7"/>
      <c r="G33" s="8"/>
      <c r="H33" s="6"/>
      <c r="I33" s="9"/>
      <c r="J33" s="10"/>
      <c r="K33" s="8"/>
      <c r="L33" s="6"/>
      <c r="M33" s="11" t="str">
        <f aca="true">IF($D33="","",IF($K33="Completed",IF($L33="",$H33,$L33),IF($H33="","",IF($H33&lt;TODAY(),TODAY(),$H33))))</f>
        <v/>
      </c>
      <c r="N33" s="12" t="str">
        <f aca="true">IF($D33="","",IF($K33="Completed","Completed",IF($H33="","No Due Date",IF($H33&lt;TODAY(),"Carried Forward",IF($H33=TODAY(),"Due Today","Upcoming")))))</f>
        <v/>
      </c>
      <c r="O33" s="5" t="str">
        <f aca="true">IF($D33="","",IF($I33="","",IF($K33="Completed","",$I33-TODAY())))</f>
        <v/>
      </c>
      <c r="P33" s="5" t="str">
        <f aca="true">IF($D33="","",IF($B33="","",IF($K33="Completed",IF($L33="","",$L33-$B33),TODAY()-$B33)))</f>
        <v/>
      </c>
      <c r="Q33" s="5" t="str">
        <f aca="false">IF($D33="","",IF($K33="Completed","",MAX($Q$1:$Q32)+1))</f>
        <v/>
      </c>
      <c r="R33" s="7"/>
    </row>
    <row r="34" customFormat="false" ht="15" hidden="false" customHeight="false" outlineLevel="0" collapsed="false">
      <c r="A34" s="5" t="str">
        <f aca="false">IF($D34="","",ROW()-1)</f>
        <v/>
      </c>
      <c r="B34" s="6"/>
      <c r="C34" s="7"/>
      <c r="D34" s="7"/>
      <c r="E34" s="7"/>
      <c r="F34" s="7"/>
      <c r="G34" s="8"/>
      <c r="H34" s="6"/>
      <c r="I34" s="9"/>
      <c r="J34" s="10"/>
      <c r="K34" s="8"/>
      <c r="L34" s="6"/>
      <c r="M34" s="11" t="str">
        <f aca="true">IF($D34="","",IF($K34="Completed",IF($L34="",$H34,$L34),IF($H34="","",IF($H34&lt;TODAY(),TODAY(),$H34))))</f>
        <v/>
      </c>
      <c r="N34" s="12" t="str">
        <f aca="true">IF($D34="","",IF($K34="Completed","Completed",IF($H34="","No Due Date",IF($H34&lt;TODAY(),"Carried Forward",IF($H34=TODAY(),"Due Today","Upcoming")))))</f>
        <v/>
      </c>
      <c r="O34" s="5" t="str">
        <f aca="true">IF($D34="","",IF($I34="","",IF($K34="Completed","",$I34-TODAY())))</f>
        <v/>
      </c>
      <c r="P34" s="5" t="str">
        <f aca="true">IF($D34="","",IF($B34="","",IF($K34="Completed",IF($L34="","",$L34-$B34),TODAY()-$B34)))</f>
        <v/>
      </c>
      <c r="Q34" s="5" t="str">
        <f aca="false">IF($D34="","",IF($K34="Completed","",MAX($Q$1:$Q33)+1))</f>
        <v/>
      </c>
      <c r="R34" s="7"/>
    </row>
    <row r="35" customFormat="false" ht="15" hidden="false" customHeight="false" outlineLevel="0" collapsed="false">
      <c r="A35" s="5" t="str">
        <f aca="false">IF($D35="","",ROW()-1)</f>
        <v/>
      </c>
      <c r="B35" s="6"/>
      <c r="C35" s="7"/>
      <c r="D35" s="7"/>
      <c r="E35" s="7"/>
      <c r="F35" s="7"/>
      <c r="G35" s="8"/>
      <c r="H35" s="6"/>
      <c r="I35" s="9"/>
      <c r="J35" s="10"/>
      <c r="K35" s="8"/>
      <c r="L35" s="6"/>
      <c r="M35" s="11" t="str">
        <f aca="true">IF($D35="","",IF($K35="Completed",IF($L35="",$H35,$L35),IF($H35="","",IF($H35&lt;TODAY(),TODAY(),$H35))))</f>
        <v/>
      </c>
      <c r="N35" s="12" t="str">
        <f aca="true">IF($D35="","",IF($K35="Completed","Completed",IF($H35="","No Due Date",IF($H35&lt;TODAY(),"Carried Forward",IF($H35=TODAY(),"Due Today","Upcoming")))))</f>
        <v/>
      </c>
      <c r="O35" s="5" t="str">
        <f aca="true">IF($D35="","",IF($I35="","",IF($K35="Completed","",$I35-TODAY())))</f>
        <v/>
      </c>
      <c r="P35" s="5" t="str">
        <f aca="true">IF($D35="","",IF($B35="","",IF($K35="Completed",IF($L35="","",$L35-$B35),TODAY()-$B35)))</f>
        <v/>
      </c>
      <c r="Q35" s="5" t="str">
        <f aca="false">IF($D35="","",IF($K35="Completed","",MAX($Q$1:$Q34)+1))</f>
        <v/>
      </c>
      <c r="R35" s="7"/>
    </row>
    <row r="36" customFormat="false" ht="15" hidden="false" customHeight="false" outlineLevel="0" collapsed="false">
      <c r="A36" s="5" t="str">
        <f aca="false">IF($D36="","",ROW()-1)</f>
        <v/>
      </c>
      <c r="B36" s="6"/>
      <c r="C36" s="7"/>
      <c r="D36" s="7"/>
      <c r="E36" s="7"/>
      <c r="F36" s="7"/>
      <c r="G36" s="8"/>
      <c r="H36" s="6"/>
      <c r="I36" s="9"/>
      <c r="J36" s="10"/>
      <c r="K36" s="8"/>
      <c r="L36" s="6"/>
      <c r="M36" s="11" t="str">
        <f aca="true">IF($D36="","",IF($K36="Completed",IF($L36="",$H36,$L36),IF($H36="","",IF($H36&lt;TODAY(),TODAY(),$H36))))</f>
        <v/>
      </c>
      <c r="N36" s="12" t="str">
        <f aca="true">IF($D36="","",IF($K36="Completed","Completed",IF($H36="","No Due Date",IF($H36&lt;TODAY(),"Carried Forward",IF($H36=TODAY(),"Due Today","Upcoming")))))</f>
        <v/>
      </c>
      <c r="O36" s="5" t="str">
        <f aca="true">IF($D36="","",IF($I36="","",IF($K36="Completed","",$I36-TODAY())))</f>
        <v/>
      </c>
      <c r="P36" s="5" t="str">
        <f aca="true">IF($D36="","",IF($B36="","",IF($K36="Completed",IF($L36="","",$L36-$B36),TODAY()-$B36)))</f>
        <v/>
      </c>
      <c r="Q36" s="5" t="str">
        <f aca="false">IF($D36="","",IF($K36="Completed","",MAX($Q$1:$Q35)+1))</f>
        <v/>
      </c>
      <c r="R36" s="7"/>
    </row>
    <row r="37" customFormat="false" ht="15" hidden="false" customHeight="false" outlineLevel="0" collapsed="false">
      <c r="A37" s="5" t="str">
        <f aca="false">IF($D37="","",ROW()-1)</f>
        <v/>
      </c>
      <c r="B37" s="6"/>
      <c r="C37" s="7"/>
      <c r="D37" s="7"/>
      <c r="E37" s="7"/>
      <c r="F37" s="7"/>
      <c r="G37" s="8"/>
      <c r="H37" s="6"/>
      <c r="I37" s="9"/>
      <c r="J37" s="10"/>
      <c r="K37" s="8"/>
      <c r="L37" s="6"/>
      <c r="M37" s="11" t="str">
        <f aca="true">IF($D37="","",IF($K37="Completed",IF($L37="",$H37,$L37),IF($H37="","",IF($H37&lt;TODAY(),TODAY(),$H37))))</f>
        <v/>
      </c>
      <c r="N37" s="12" t="str">
        <f aca="true">IF($D37="","",IF($K37="Completed","Completed",IF($H37="","No Due Date",IF($H37&lt;TODAY(),"Carried Forward",IF($H37=TODAY(),"Due Today","Upcoming")))))</f>
        <v/>
      </c>
      <c r="O37" s="5" t="str">
        <f aca="true">IF($D37="","",IF($I37="","",IF($K37="Completed","",$I37-TODAY())))</f>
        <v/>
      </c>
      <c r="P37" s="5" t="str">
        <f aca="true">IF($D37="","",IF($B37="","",IF($K37="Completed",IF($L37="","",$L37-$B37),TODAY()-$B37)))</f>
        <v/>
      </c>
      <c r="Q37" s="5" t="str">
        <f aca="false">IF($D37="","",IF($K37="Completed","",MAX($Q$1:$Q36)+1))</f>
        <v/>
      </c>
      <c r="R37" s="7"/>
    </row>
    <row r="38" customFormat="false" ht="15" hidden="false" customHeight="false" outlineLevel="0" collapsed="false">
      <c r="A38" s="5" t="str">
        <f aca="false">IF($D38="","",ROW()-1)</f>
        <v/>
      </c>
      <c r="B38" s="6"/>
      <c r="C38" s="7"/>
      <c r="D38" s="7"/>
      <c r="E38" s="7"/>
      <c r="F38" s="7"/>
      <c r="G38" s="8"/>
      <c r="H38" s="6"/>
      <c r="I38" s="9"/>
      <c r="J38" s="10"/>
      <c r="K38" s="8"/>
      <c r="L38" s="6"/>
      <c r="M38" s="11" t="str">
        <f aca="true">IF($D38="","",IF($K38="Completed",IF($L38="",$H38,$L38),IF($H38="","",IF($H38&lt;TODAY(),TODAY(),$H38))))</f>
        <v/>
      </c>
      <c r="N38" s="12" t="str">
        <f aca="true">IF($D38="","",IF($K38="Completed","Completed",IF($H38="","No Due Date",IF($H38&lt;TODAY(),"Carried Forward",IF($H38=TODAY(),"Due Today","Upcoming")))))</f>
        <v/>
      </c>
      <c r="O38" s="5" t="str">
        <f aca="true">IF($D38="","",IF($I38="","",IF($K38="Completed","",$I38-TODAY())))</f>
        <v/>
      </c>
      <c r="P38" s="5" t="str">
        <f aca="true">IF($D38="","",IF($B38="","",IF($K38="Completed",IF($L38="","",$L38-$B38),TODAY()-$B38)))</f>
        <v/>
      </c>
      <c r="Q38" s="5" t="str">
        <f aca="false">IF($D38="","",IF($K38="Completed","",MAX($Q$1:$Q37)+1))</f>
        <v/>
      </c>
      <c r="R38" s="7"/>
    </row>
    <row r="39" customFormat="false" ht="15" hidden="false" customHeight="false" outlineLevel="0" collapsed="false">
      <c r="A39" s="5" t="str">
        <f aca="false">IF($D39="","",ROW()-1)</f>
        <v/>
      </c>
      <c r="B39" s="6"/>
      <c r="C39" s="7"/>
      <c r="D39" s="7"/>
      <c r="E39" s="7"/>
      <c r="F39" s="7"/>
      <c r="G39" s="8"/>
      <c r="H39" s="6"/>
      <c r="I39" s="9"/>
      <c r="J39" s="10"/>
      <c r="K39" s="8"/>
      <c r="L39" s="6"/>
      <c r="M39" s="11" t="str">
        <f aca="true">IF($D39="","",IF($K39="Completed",IF($L39="",$H39,$L39),IF($H39="","",IF($H39&lt;TODAY(),TODAY(),$H39))))</f>
        <v/>
      </c>
      <c r="N39" s="12" t="str">
        <f aca="true">IF($D39="","",IF($K39="Completed","Completed",IF($H39="","No Due Date",IF($H39&lt;TODAY(),"Carried Forward",IF($H39=TODAY(),"Due Today","Upcoming")))))</f>
        <v/>
      </c>
      <c r="O39" s="5" t="str">
        <f aca="true">IF($D39="","",IF($I39="","",IF($K39="Completed","",$I39-TODAY())))</f>
        <v/>
      </c>
      <c r="P39" s="5" t="str">
        <f aca="true">IF($D39="","",IF($B39="","",IF($K39="Completed",IF($L39="","",$L39-$B39),TODAY()-$B39)))</f>
        <v/>
      </c>
      <c r="Q39" s="5" t="str">
        <f aca="false">IF($D39="","",IF($K39="Completed","",MAX($Q$1:$Q38)+1))</f>
        <v/>
      </c>
      <c r="R39" s="7"/>
    </row>
    <row r="40" customFormat="false" ht="15" hidden="false" customHeight="false" outlineLevel="0" collapsed="false">
      <c r="A40" s="5" t="str">
        <f aca="false">IF($D40="","",ROW()-1)</f>
        <v/>
      </c>
      <c r="B40" s="6"/>
      <c r="C40" s="7"/>
      <c r="D40" s="7"/>
      <c r="E40" s="7"/>
      <c r="F40" s="7"/>
      <c r="G40" s="8"/>
      <c r="H40" s="6"/>
      <c r="I40" s="9"/>
      <c r="J40" s="10"/>
      <c r="K40" s="8"/>
      <c r="L40" s="6"/>
      <c r="M40" s="11" t="str">
        <f aca="true">IF($D40="","",IF($K40="Completed",IF($L40="",$H40,$L40),IF($H40="","",IF($H40&lt;TODAY(),TODAY(),$H40))))</f>
        <v/>
      </c>
      <c r="N40" s="12" t="str">
        <f aca="true">IF($D40="","",IF($K40="Completed","Completed",IF($H40="","No Due Date",IF($H40&lt;TODAY(),"Carried Forward",IF($H40=TODAY(),"Due Today","Upcoming")))))</f>
        <v/>
      </c>
      <c r="O40" s="5" t="str">
        <f aca="true">IF($D40="","",IF($I40="","",IF($K40="Completed","",$I40-TODAY())))</f>
        <v/>
      </c>
      <c r="P40" s="5" t="str">
        <f aca="true">IF($D40="","",IF($B40="","",IF($K40="Completed",IF($L40="","",$L40-$B40),TODAY()-$B40)))</f>
        <v/>
      </c>
      <c r="Q40" s="5" t="str">
        <f aca="false">IF($D40="","",IF($K40="Completed","",MAX($Q$1:$Q39)+1))</f>
        <v/>
      </c>
      <c r="R40" s="7"/>
    </row>
    <row r="41" customFormat="false" ht="15" hidden="false" customHeight="false" outlineLevel="0" collapsed="false">
      <c r="A41" s="5" t="str">
        <f aca="false">IF($D41="","",ROW()-1)</f>
        <v/>
      </c>
      <c r="B41" s="6"/>
      <c r="C41" s="7"/>
      <c r="D41" s="7"/>
      <c r="E41" s="7"/>
      <c r="F41" s="7"/>
      <c r="G41" s="8"/>
      <c r="H41" s="6"/>
      <c r="I41" s="9"/>
      <c r="J41" s="10"/>
      <c r="K41" s="8"/>
      <c r="L41" s="6"/>
      <c r="M41" s="11" t="str">
        <f aca="true">IF($D41="","",IF($K41="Completed",IF($L41="",$H41,$L41),IF($H41="","",IF($H41&lt;TODAY(),TODAY(),$H41))))</f>
        <v/>
      </c>
      <c r="N41" s="12" t="str">
        <f aca="true">IF($D41="","",IF($K41="Completed","Completed",IF($H41="","No Due Date",IF($H41&lt;TODAY(),"Carried Forward",IF($H41=TODAY(),"Due Today","Upcoming")))))</f>
        <v/>
      </c>
      <c r="O41" s="5" t="str">
        <f aca="true">IF($D41="","",IF($I41="","",IF($K41="Completed","",$I41-TODAY())))</f>
        <v/>
      </c>
      <c r="P41" s="5" t="str">
        <f aca="true">IF($D41="","",IF($B41="","",IF($K41="Completed",IF($L41="","",$L41-$B41),TODAY()-$B41)))</f>
        <v/>
      </c>
      <c r="Q41" s="5" t="str">
        <f aca="false">IF($D41="","",IF($K41="Completed","",MAX($Q$1:$Q40)+1))</f>
        <v/>
      </c>
      <c r="R41" s="7"/>
    </row>
    <row r="42" customFormat="false" ht="15" hidden="false" customHeight="false" outlineLevel="0" collapsed="false">
      <c r="A42" s="5" t="str">
        <f aca="false">IF($D42="","",ROW()-1)</f>
        <v/>
      </c>
      <c r="B42" s="6"/>
      <c r="C42" s="7"/>
      <c r="D42" s="7"/>
      <c r="E42" s="7"/>
      <c r="F42" s="7"/>
      <c r="G42" s="8"/>
      <c r="H42" s="6"/>
      <c r="I42" s="9"/>
      <c r="J42" s="10"/>
      <c r="K42" s="8"/>
      <c r="L42" s="6"/>
      <c r="M42" s="11" t="str">
        <f aca="true">IF($D42="","",IF($K42="Completed",IF($L42="",$H42,$L42),IF($H42="","",IF($H42&lt;TODAY(),TODAY(),$H42))))</f>
        <v/>
      </c>
      <c r="N42" s="12" t="str">
        <f aca="true">IF($D42="","",IF($K42="Completed","Completed",IF($H42="","No Due Date",IF($H42&lt;TODAY(),"Carried Forward",IF($H42=TODAY(),"Due Today","Upcoming")))))</f>
        <v/>
      </c>
      <c r="O42" s="5" t="str">
        <f aca="true">IF($D42="","",IF($I42="","",IF($K42="Completed","",$I42-TODAY())))</f>
        <v/>
      </c>
      <c r="P42" s="5" t="str">
        <f aca="true">IF($D42="","",IF($B42="","",IF($K42="Completed",IF($L42="","",$L42-$B42),TODAY()-$B42)))</f>
        <v/>
      </c>
      <c r="Q42" s="5" t="str">
        <f aca="false">IF($D42="","",IF($K42="Completed","",MAX($Q$1:$Q41)+1))</f>
        <v/>
      </c>
      <c r="R42" s="7"/>
    </row>
    <row r="43" customFormat="false" ht="15" hidden="false" customHeight="false" outlineLevel="0" collapsed="false">
      <c r="A43" s="5" t="str">
        <f aca="false">IF($D43="","",ROW()-1)</f>
        <v/>
      </c>
      <c r="B43" s="6"/>
      <c r="C43" s="7"/>
      <c r="D43" s="7"/>
      <c r="E43" s="7"/>
      <c r="F43" s="7"/>
      <c r="G43" s="8"/>
      <c r="H43" s="6"/>
      <c r="I43" s="9"/>
      <c r="J43" s="10"/>
      <c r="K43" s="8"/>
      <c r="L43" s="6"/>
      <c r="M43" s="11" t="str">
        <f aca="true">IF($D43="","",IF($K43="Completed",IF($L43="",$H43,$L43),IF($H43="","",IF($H43&lt;TODAY(),TODAY(),$H43))))</f>
        <v/>
      </c>
      <c r="N43" s="12" t="str">
        <f aca="true">IF($D43="","",IF($K43="Completed","Completed",IF($H43="","No Due Date",IF($H43&lt;TODAY(),"Carried Forward",IF($H43=TODAY(),"Due Today","Upcoming")))))</f>
        <v/>
      </c>
      <c r="O43" s="5" t="str">
        <f aca="true">IF($D43="","",IF($I43="","",IF($K43="Completed","",$I43-TODAY())))</f>
        <v/>
      </c>
      <c r="P43" s="5" t="str">
        <f aca="true">IF($D43="","",IF($B43="","",IF($K43="Completed",IF($L43="","",$L43-$B43),TODAY()-$B43)))</f>
        <v/>
      </c>
      <c r="Q43" s="5" t="str">
        <f aca="false">IF($D43="","",IF($K43="Completed","",MAX($Q$1:$Q42)+1))</f>
        <v/>
      </c>
      <c r="R43" s="7"/>
    </row>
    <row r="44" customFormat="false" ht="15" hidden="false" customHeight="false" outlineLevel="0" collapsed="false">
      <c r="A44" s="5" t="str">
        <f aca="false">IF($D44="","",ROW()-1)</f>
        <v/>
      </c>
      <c r="B44" s="6"/>
      <c r="C44" s="7"/>
      <c r="D44" s="7"/>
      <c r="E44" s="7"/>
      <c r="F44" s="7"/>
      <c r="G44" s="8"/>
      <c r="H44" s="6"/>
      <c r="I44" s="9"/>
      <c r="J44" s="10"/>
      <c r="K44" s="8"/>
      <c r="L44" s="6"/>
      <c r="M44" s="11" t="str">
        <f aca="true">IF($D44="","",IF($K44="Completed",IF($L44="",$H44,$L44),IF($H44="","",IF($H44&lt;TODAY(),TODAY(),$H44))))</f>
        <v/>
      </c>
      <c r="N44" s="12" t="str">
        <f aca="true">IF($D44="","",IF($K44="Completed","Completed",IF($H44="","No Due Date",IF($H44&lt;TODAY(),"Carried Forward",IF($H44=TODAY(),"Due Today","Upcoming")))))</f>
        <v/>
      </c>
      <c r="O44" s="5" t="str">
        <f aca="true">IF($D44="","",IF($I44="","",IF($K44="Completed","",$I44-TODAY())))</f>
        <v/>
      </c>
      <c r="P44" s="5" t="str">
        <f aca="true">IF($D44="","",IF($B44="","",IF($K44="Completed",IF($L44="","",$L44-$B44),TODAY()-$B44)))</f>
        <v/>
      </c>
      <c r="Q44" s="5" t="str">
        <f aca="false">IF($D44="","",IF($K44="Completed","",MAX($Q$1:$Q43)+1))</f>
        <v/>
      </c>
      <c r="R44" s="7"/>
    </row>
    <row r="45" customFormat="false" ht="15" hidden="false" customHeight="false" outlineLevel="0" collapsed="false">
      <c r="A45" s="5" t="str">
        <f aca="false">IF($D45="","",ROW()-1)</f>
        <v/>
      </c>
      <c r="B45" s="6"/>
      <c r="C45" s="7"/>
      <c r="D45" s="7"/>
      <c r="E45" s="7"/>
      <c r="F45" s="7"/>
      <c r="G45" s="8"/>
      <c r="H45" s="6"/>
      <c r="I45" s="9"/>
      <c r="J45" s="10"/>
      <c r="K45" s="8"/>
      <c r="L45" s="6"/>
      <c r="M45" s="11" t="str">
        <f aca="true">IF($D45="","",IF($K45="Completed",IF($L45="",$H45,$L45),IF($H45="","",IF($H45&lt;TODAY(),TODAY(),$H45))))</f>
        <v/>
      </c>
      <c r="N45" s="12" t="str">
        <f aca="true">IF($D45="","",IF($K45="Completed","Completed",IF($H45="","No Due Date",IF($H45&lt;TODAY(),"Carried Forward",IF($H45=TODAY(),"Due Today","Upcoming")))))</f>
        <v/>
      </c>
      <c r="O45" s="5" t="str">
        <f aca="true">IF($D45="","",IF($I45="","",IF($K45="Completed","",$I45-TODAY())))</f>
        <v/>
      </c>
      <c r="P45" s="5" t="str">
        <f aca="true">IF($D45="","",IF($B45="","",IF($K45="Completed",IF($L45="","",$L45-$B45),TODAY()-$B45)))</f>
        <v/>
      </c>
      <c r="Q45" s="5" t="str">
        <f aca="false">IF($D45="","",IF($K45="Completed","",MAX($Q$1:$Q44)+1))</f>
        <v/>
      </c>
      <c r="R45" s="7"/>
    </row>
    <row r="46" customFormat="false" ht="15" hidden="false" customHeight="false" outlineLevel="0" collapsed="false">
      <c r="A46" s="5" t="str">
        <f aca="false">IF($D46="","",ROW()-1)</f>
        <v/>
      </c>
      <c r="B46" s="6"/>
      <c r="C46" s="7"/>
      <c r="D46" s="7"/>
      <c r="E46" s="7"/>
      <c r="F46" s="7"/>
      <c r="G46" s="8"/>
      <c r="H46" s="6"/>
      <c r="I46" s="9"/>
      <c r="J46" s="10"/>
      <c r="K46" s="8"/>
      <c r="L46" s="6"/>
      <c r="M46" s="11" t="str">
        <f aca="true">IF($D46="","",IF($K46="Completed",IF($L46="",$H46,$L46),IF($H46="","",IF($H46&lt;TODAY(),TODAY(),$H46))))</f>
        <v/>
      </c>
      <c r="N46" s="12" t="str">
        <f aca="true">IF($D46="","",IF($K46="Completed","Completed",IF($H46="","No Due Date",IF($H46&lt;TODAY(),"Carried Forward",IF($H46=TODAY(),"Due Today","Upcoming")))))</f>
        <v/>
      </c>
      <c r="O46" s="5" t="str">
        <f aca="true">IF($D46="","",IF($I46="","",IF($K46="Completed","",$I46-TODAY())))</f>
        <v/>
      </c>
      <c r="P46" s="5" t="str">
        <f aca="true">IF($D46="","",IF($B46="","",IF($K46="Completed",IF($L46="","",$L46-$B46),TODAY()-$B46)))</f>
        <v/>
      </c>
      <c r="Q46" s="5" t="str">
        <f aca="false">IF($D46="","",IF($K46="Completed","",MAX($Q$1:$Q45)+1))</f>
        <v/>
      </c>
      <c r="R46" s="7"/>
    </row>
    <row r="47" customFormat="false" ht="15" hidden="false" customHeight="false" outlineLevel="0" collapsed="false">
      <c r="A47" s="5" t="str">
        <f aca="false">IF($D47="","",ROW()-1)</f>
        <v/>
      </c>
      <c r="B47" s="6"/>
      <c r="C47" s="7"/>
      <c r="D47" s="7"/>
      <c r="E47" s="7"/>
      <c r="F47" s="7"/>
      <c r="G47" s="8"/>
      <c r="H47" s="6"/>
      <c r="I47" s="9"/>
      <c r="J47" s="10"/>
      <c r="K47" s="8"/>
      <c r="L47" s="6"/>
      <c r="M47" s="11" t="str">
        <f aca="true">IF($D47="","",IF($K47="Completed",IF($L47="",$H47,$L47),IF($H47="","",IF($H47&lt;TODAY(),TODAY(),$H47))))</f>
        <v/>
      </c>
      <c r="N47" s="12" t="str">
        <f aca="true">IF($D47="","",IF($K47="Completed","Completed",IF($H47="","No Due Date",IF($H47&lt;TODAY(),"Carried Forward",IF($H47=TODAY(),"Due Today","Upcoming")))))</f>
        <v/>
      </c>
      <c r="O47" s="5" t="str">
        <f aca="true">IF($D47="","",IF($I47="","",IF($K47="Completed","",$I47-TODAY())))</f>
        <v/>
      </c>
      <c r="P47" s="5" t="str">
        <f aca="true">IF($D47="","",IF($B47="","",IF($K47="Completed",IF($L47="","",$L47-$B47),TODAY()-$B47)))</f>
        <v/>
      </c>
      <c r="Q47" s="5" t="str">
        <f aca="false">IF($D47="","",IF($K47="Completed","",MAX($Q$1:$Q46)+1))</f>
        <v/>
      </c>
      <c r="R47" s="7"/>
    </row>
    <row r="48" customFormat="false" ht="15" hidden="false" customHeight="false" outlineLevel="0" collapsed="false">
      <c r="A48" s="5" t="str">
        <f aca="false">IF($D48="","",ROW()-1)</f>
        <v/>
      </c>
      <c r="B48" s="6"/>
      <c r="C48" s="7"/>
      <c r="D48" s="7"/>
      <c r="E48" s="7"/>
      <c r="F48" s="7"/>
      <c r="G48" s="8"/>
      <c r="H48" s="6"/>
      <c r="I48" s="9"/>
      <c r="J48" s="10"/>
      <c r="K48" s="8"/>
      <c r="L48" s="6"/>
      <c r="M48" s="11" t="str">
        <f aca="true">IF($D48="","",IF($K48="Completed",IF($L48="",$H48,$L48),IF($H48="","",IF($H48&lt;TODAY(),TODAY(),$H48))))</f>
        <v/>
      </c>
      <c r="N48" s="12" t="str">
        <f aca="true">IF($D48="","",IF($K48="Completed","Completed",IF($H48="","No Due Date",IF($H48&lt;TODAY(),"Carried Forward",IF($H48=TODAY(),"Due Today","Upcoming")))))</f>
        <v/>
      </c>
      <c r="O48" s="5" t="str">
        <f aca="true">IF($D48="","",IF($I48="","",IF($K48="Completed","",$I48-TODAY())))</f>
        <v/>
      </c>
      <c r="P48" s="5" t="str">
        <f aca="true">IF($D48="","",IF($B48="","",IF($K48="Completed",IF($L48="","",$L48-$B48),TODAY()-$B48)))</f>
        <v/>
      </c>
      <c r="Q48" s="5" t="str">
        <f aca="false">IF($D48="","",IF($K48="Completed","",MAX($Q$1:$Q47)+1))</f>
        <v/>
      </c>
      <c r="R48" s="7"/>
    </row>
    <row r="49" customFormat="false" ht="15" hidden="false" customHeight="false" outlineLevel="0" collapsed="false">
      <c r="A49" s="5" t="str">
        <f aca="false">IF($D49="","",ROW()-1)</f>
        <v/>
      </c>
      <c r="B49" s="6"/>
      <c r="C49" s="7"/>
      <c r="D49" s="7"/>
      <c r="E49" s="7"/>
      <c r="F49" s="7"/>
      <c r="G49" s="8"/>
      <c r="H49" s="6"/>
      <c r="I49" s="9"/>
      <c r="J49" s="10"/>
      <c r="K49" s="8"/>
      <c r="L49" s="6"/>
      <c r="M49" s="11" t="str">
        <f aca="true">IF($D49="","",IF($K49="Completed",IF($L49="",$H49,$L49),IF($H49="","",IF($H49&lt;TODAY(),TODAY(),$H49))))</f>
        <v/>
      </c>
      <c r="N49" s="12" t="str">
        <f aca="true">IF($D49="","",IF($K49="Completed","Completed",IF($H49="","No Due Date",IF($H49&lt;TODAY(),"Carried Forward",IF($H49=TODAY(),"Due Today","Upcoming")))))</f>
        <v/>
      </c>
      <c r="O49" s="5" t="str">
        <f aca="true">IF($D49="","",IF($I49="","",IF($K49="Completed","",$I49-TODAY())))</f>
        <v/>
      </c>
      <c r="P49" s="5" t="str">
        <f aca="true">IF($D49="","",IF($B49="","",IF($K49="Completed",IF($L49="","",$L49-$B49),TODAY()-$B49)))</f>
        <v/>
      </c>
      <c r="Q49" s="5" t="str">
        <f aca="false">IF($D49="","",IF($K49="Completed","",MAX($Q$1:$Q48)+1))</f>
        <v/>
      </c>
      <c r="R49" s="7"/>
    </row>
    <row r="50" customFormat="false" ht="15" hidden="false" customHeight="false" outlineLevel="0" collapsed="false">
      <c r="A50" s="5" t="str">
        <f aca="false">IF($D50="","",ROW()-1)</f>
        <v/>
      </c>
      <c r="B50" s="6"/>
      <c r="C50" s="7"/>
      <c r="D50" s="7"/>
      <c r="E50" s="7"/>
      <c r="F50" s="7"/>
      <c r="G50" s="8"/>
      <c r="H50" s="6"/>
      <c r="I50" s="9"/>
      <c r="J50" s="10"/>
      <c r="K50" s="8"/>
      <c r="L50" s="6"/>
      <c r="M50" s="11" t="str">
        <f aca="true">IF($D50="","",IF($K50="Completed",IF($L50="",$H50,$L50),IF($H50="","",IF($H50&lt;TODAY(),TODAY(),$H50))))</f>
        <v/>
      </c>
      <c r="N50" s="12" t="str">
        <f aca="true">IF($D50="","",IF($K50="Completed","Completed",IF($H50="","No Due Date",IF($H50&lt;TODAY(),"Carried Forward",IF($H50=TODAY(),"Due Today","Upcoming")))))</f>
        <v/>
      </c>
      <c r="O50" s="5" t="str">
        <f aca="true">IF($D50="","",IF($I50="","",IF($K50="Completed","",$I50-TODAY())))</f>
        <v/>
      </c>
      <c r="P50" s="5" t="str">
        <f aca="true">IF($D50="","",IF($B50="","",IF($K50="Completed",IF($L50="","",$L50-$B50),TODAY()-$B50)))</f>
        <v/>
      </c>
      <c r="Q50" s="5" t="str">
        <f aca="false">IF($D50="","",IF($K50="Completed","",MAX($Q$1:$Q49)+1))</f>
        <v/>
      </c>
      <c r="R50" s="7"/>
    </row>
    <row r="51" customFormat="false" ht="15" hidden="false" customHeight="false" outlineLevel="0" collapsed="false">
      <c r="A51" s="5" t="str">
        <f aca="false">IF($D51="","",ROW()-1)</f>
        <v/>
      </c>
      <c r="B51" s="6"/>
      <c r="C51" s="7"/>
      <c r="D51" s="7"/>
      <c r="E51" s="7"/>
      <c r="F51" s="7"/>
      <c r="G51" s="8"/>
      <c r="H51" s="6"/>
      <c r="I51" s="9"/>
      <c r="J51" s="10"/>
      <c r="K51" s="8"/>
      <c r="L51" s="6"/>
      <c r="M51" s="11" t="str">
        <f aca="true">IF($D51="","",IF($K51="Completed",IF($L51="",$H51,$L51),IF($H51="","",IF($H51&lt;TODAY(),TODAY(),$H51))))</f>
        <v/>
      </c>
      <c r="N51" s="12" t="str">
        <f aca="true">IF($D51="","",IF($K51="Completed","Completed",IF($H51="","No Due Date",IF($H51&lt;TODAY(),"Carried Forward",IF($H51=TODAY(),"Due Today","Upcoming")))))</f>
        <v/>
      </c>
      <c r="O51" s="5" t="str">
        <f aca="true">IF($D51="","",IF($I51="","",IF($K51="Completed","",$I51-TODAY())))</f>
        <v/>
      </c>
      <c r="P51" s="5" t="str">
        <f aca="true">IF($D51="","",IF($B51="","",IF($K51="Completed",IF($L51="","",$L51-$B51),TODAY()-$B51)))</f>
        <v/>
      </c>
      <c r="Q51" s="5" t="str">
        <f aca="false">IF($D51="","",IF($K51="Completed","",MAX($Q$1:$Q50)+1))</f>
        <v/>
      </c>
      <c r="R51" s="7"/>
    </row>
    <row r="52" customFormat="false" ht="15" hidden="false" customHeight="false" outlineLevel="0" collapsed="false">
      <c r="A52" s="5" t="str">
        <f aca="false">IF($D52="","",ROW()-1)</f>
        <v/>
      </c>
      <c r="B52" s="6"/>
      <c r="C52" s="7"/>
      <c r="D52" s="7"/>
      <c r="E52" s="7"/>
      <c r="F52" s="7"/>
      <c r="G52" s="8"/>
      <c r="H52" s="6"/>
      <c r="I52" s="9"/>
      <c r="J52" s="10"/>
      <c r="K52" s="8"/>
      <c r="L52" s="6"/>
      <c r="M52" s="11" t="str">
        <f aca="true">IF($D52="","",IF($K52="Completed",IF($L52="",$H52,$L52),IF($H52="","",IF($H52&lt;TODAY(),TODAY(),$H52))))</f>
        <v/>
      </c>
      <c r="N52" s="12" t="str">
        <f aca="true">IF($D52="","",IF($K52="Completed","Completed",IF($H52="","No Due Date",IF($H52&lt;TODAY(),"Carried Forward",IF($H52=TODAY(),"Due Today","Upcoming")))))</f>
        <v/>
      </c>
      <c r="O52" s="5" t="str">
        <f aca="true">IF($D52="","",IF($I52="","",IF($K52="Completed","",$I52-TODAY())))</f>
        <v/>
      </c>
      <c r="P52" s="5" t="str">
        <f aca="true">IF($D52="","",IF($B52="","",IF($K52="Completed",IF($L52="","",$L52-$B52),TODAY()-$B52)))</f>
        <v/>
      </c>
      <c r="Q52" s="5" t="str">
        <f aca="false">IF($D52="","",IF($K52="Completed","",MAX($Q$1:$Q51)+1))</f>
        <v/>
      </c>
      <c r="R52" s="7"/>
    </row>
    <row r="53" customFormat="false" ht="15" hidden="false" customHeight="false" outlineLevel="0" collapsed="false">
      <c r="A53" s="5" t="str">
        <f aca="false">IF($D53="","",ROW()-1)</f>
        <v/>
      </c>
      <c r="B53" s="6"/>
      <c r="C53" s="7"/>
      <c r="D53" s="7"/>
      <c r="E53" s="7"/>
      <c r="F53" s="7"/>
      <c r="G53" s="8"/>
      <c r="H53" s="6"/>
      <c r="I53" s="9"/>
      <c r="J53" s="10"/>
      <c r="K53" s="8"/>
      <c r="L53" s="6"/>
      <c r="M53" s="11" t="str">
        <f aca="true">IF($D53="","",IF($K53="Completed",IF($L53="",$H53,$L53),IF($H53="","",IF($H53&lt;TODAY(),TODAY(),$H53))))</f>
        <v/>
      </c>
      <c r="N53" s="12" t="str">
        <f aca="true">IF($D53="","",IF($K53="Completed","Completed",IF($H53="","No Due Date",IF($H53&lt;TODAY(),"Carried Forward",IF($H53=TODAY(),"Due Today","Upcoming")))))</f>
        <v/>
      </c>
      <c r="O53" s="5" t="str">
        <f aca="true">IF($D53="","",IF($I53="","",IF($K53="Completed","",$I53-TODAY())))</f>
        <v/>
      </c>
      <c r="P53" s="5" t="str">
        <f aca="true">IF($D53="","",IF($B53="","",IF($K53="Completed",IF($L53="","",$L53-$B53),TODAY()-$B53)))</f>
        <v/>
      </c>
      <c r="Q53" s="5" t="str">
        <f aca="false">IF($D53="","",IF($K53="Completed","",MAX($Q$1:$Q52)+1))</f>
        <v/>
      </c>
      <c r="R53" s="7"/>
    </row>
    <row r="54" customFormat="false" ht="15" hidden="false" customHeight="false" outlineLevel="0" collapsed="false">
      <c r="A54" s="5" t="str">
        <f aca="false">IF($D54="","",ROW()-1)</f>
        <v/>
      </c>
      <c r="B54" s="6"/>
      <c r="C54" s="7"/>
      <c r="D54" s="7"/>
      <c r="E54" s="7"/>
      <c r="F54" s="7"/>
      <c r="G54" s="8"/>
      <c r="H54" s="6"/>
      <c r="I54" s="9"/>
      <c r="J54" s="10"/>
      <c r="K54" s="8"/>
      <c r="L54" s="6"/>
      <c r="M54" s="11" t="str">
        <f aca="true">IF($D54="","",IF($K54="Completed",IF($L54="",$H54,$L54),IF($H54="","",IF($H54&lt;TODAY(),TODAY(),$H54))))</f>
        <v/>
      </c>
      <c r="N54" s="12" t="str">
        <f aca="true">IF($D54="","",IF($K54="Completed","Completed",IF($H54="","No Due Date",IF($H54&lt;TODAY(),"Carried Forward",IF($H54=TODAY(),"Due Today","Upcoming")))))</f>
        <v/>
      </c>
      <c r="O54" s="5" t="str">
        <f aca="true">IF($D54="","",IF($I54="","",IF($K54="Completed","",$I54-TODAY())))</f>
        <v/>
      </c>
      <c r="P54" s="5" t="str">
        <f aca="true">IF($D54="","",IF($B54="","",IF($K54="Completed",IF($L54="","",$L54-$B54),TODAY()-$B54)))</f>
        <v/>
      </c>
      <c r="Q54" s="5" t="str">
        <f aca="false">IF($D54="","",IF($K54="Completed","",MAX($Q$1:$Q53)+1))</f>
        <v/>
      </c>
      <c r="R54" s="7"/>
    </row>
    <row r="55" customFormat="false" ht="15" hidden="false" customHeight="false" outlineLevel="0" collapsed="false">
      <c r="A55" s="5" t="str">
        <f aca="false">IF($D55="","",ROW()-1)</f>
        <v/>
      </c>
      <c r="B55" s="6"/>
      <c r="C55" s="7"/>
      <c r="D55" s="7"/>
      <c r="E55" s="7"/>
      <c r="F55" s="7"/>
      <c r="G55" s="8"/>
      <c r="H55" s="6"/>
      <c r="I55" s="9"/>
      <c r="J55" s="10"/>
      <c r="K55" s="8"/>
      <c r="L55" s="6"/>
      <c r="M55" s="11" t="str">
        <f aca="true">IF($D55="","",IF($K55="Completed",IF($L55="",$H55,$L55),IF($H55="","",IF($H55&lt;TODAY(),TODAY(),$H55))))</f>
        <v/>
      </c>
      <c r="N55" s="12" t="str">
        <f aca="true">IF($D55="","",IF($K55="Completed","Completed",IF($H55="","No Due Date",IF($H55&lt;TODAY(),"Carried Forward",IF($H55=TODAY(),"Due Today","Upcoming")))))</f>
        <v/>
      </c>
      <c r="O55" s="5" t="str">
        <f aca="true">IF($D55="","",IF($I55="","",IF($K55="Completed","",$I55-TODAY())))</f>
        <v/>
      </c>
      <c r="P55" s="5" t="str">
        <f aca="true">IF($D55="","",IF($B55="","",IF($K55="Completed",IF($L55="","",$L55-$B55),TODAY()-$B55)))</f>
        <v/>
      </c>
      <c r="Q55" s="5" t="str">
        <f aca="false">IF($D55="","",IF($K55="Completed","",MAX($Q$1:$Q54)+1))</f>
        <v/>
      </c>
      <c r="R55" s="7"/>
    </row>
    <row r="56" customFormat="false" ht="15" hidden="false" customHeight="false" outlineLevel="0" collapsed="false">
      <c r="A56" s="5" t="str">
        <f aca="false">IF($D56="","",ROW()-1)</f>
        <v/>
      </c>
      <c r="B56" s="6"/>
      <c r="C56" s="7"/>
      <c r="D56" s="7"/>
      <c r="E56" s="7"/>
      <c r="F56" s="7"/>
      <c r="G56" s="8"/>
      <c r="H56" s="6"/>
      <c r="I56" s="9"/>
      <c r="J56" s="10"/>
      <c r="K56" s="8"/>
      <c r="L56" s="6"/>
      <c r="M56" s="11" t="str">
        <f aca="true">IF($D56="","",IF($K56="Completed",IF($L56="",$H56,$L56),IF($H56="","",IF($H56&lt;TODAY(),TODAY(),$H56))))</f>
        <v/>
      </c>
      <c r="N56" s="12" t="str">
        <f aca="true">IF($D56="","",IF($K56="Completed","Completed",IF($H56="","No Due Date",IF($H56&lt;TODAY(),"Carried Forward",IF($H56=TODAY(),"Due Today","Upcoming")))))</f>
        <v/>
      </c>
      <c r="O56" s="5" t="str">
        <f aca="true">IF($D56="","",IF($I56="","",IF($K56="Completed","",$I56-TODAY())))</f>
        <v/>
      </c>
      <c r="P56" s="5" t="str">
        <f aca="true">IF($D56="","",IF($B56="","",IF($K56="Completed",IF($L56="","",$L56-$B56),TODAY()-$B56)))</f>
        <v/>
      </c>
      <c r="Q56" s="5" t="str">
        <f aca="false">IF($D56="","",IF($K56="Completed","",MAX($Q$1:$Q55)+1))</f>
        <v/>
      </c>
      <c r="R56" s="7"/>
    </row>
    <row r="57" customFormat="false" ht="15" hidden="false" customHeight="false" outlineLevel="0" collapsed="false">
      <c r="A57" s="5" t="str">
        <f aca="false">IF($D57="","",ROW()-1)</f>
        <v/>
      </c>
      <c r="B57" s="6"/>
      <c r="C57" s="7"/>
      <c r="D57" s="7"/>
      <c r="E57" s="7"/>
      <c r="F57" s="7"/>
      <c r="G57" s="8"/>
      <c r="H57" s="6"/>
      <c r="I57" s="9"/>
      <c r="J57" s="10"/>
      <c r="K57" s="8"/>
      <c r="L57" s="6"/>
      <c r="M57" s="11" t="str">
        <f aca="true">IF($D57="","",IF($K57="Completed",IF($L57="",$H57,$L57),IF($H57="","",IF($H57&lt;TODAY(),TODAY(),$H57))))</f>
        <v/>
      </c>
      <c r="N57" s="12" t="str">
        <f aca="true">IF($D57="","",IF($K57="Completed","Completed",IF($H57="","No Due Date",IF($H57&lt;TODAY(),"Carried Forward",IF($H57=TODAY(),"Due Today","Upcoming")))))</f>
        <v/>
      </c>
      <c r="O57" s="5" t="str">
        <f aca="true">IF($D57="","",IF($I57="","",IF($K57="Completed","",$I57-TODAY())))</f>
        <v/>
      </c>
      <c r="P57" s="5" t="str">
        <f aca="true">IF($D57="","",IF($B57="","",IF($K57="Completed",IF($L57="","",$L57-$B57),TODAY()-$B57)))</f>
        <v/>
      </c>
      <c r="Q57" s="5" t="str">
        <f aca="false">IF($D57="","",IF($K57="Completed","",MAX($Q$1:$Q56)+1))</f>
        <v/>
      </c>
      <c r="R57" s="7"/>
    </row>
    <row r="58" customFormat="false" ht="15" hidden="false" customHeight="false" outlineLevel="0" collapsed="false">
      <c r="A58" s="5" t="str">
        <f aca="false">IF($D58="","",ROW()-1)</f>
        <v/>
      </c>
      <c r="B58" s="6"/>
      <c r="C58" s="7"/>
      <c r="D58" s="7"/>
      <c r="E58" s="7"/>
      <c r="F58" s="7"/>
      <c r="G58" s="8"/>
      <c r="H58" s="6"/>
      <c r="I58" s="9"/>
      <c r="J58" s="10"/>
      <c r="K58" s="8"/>
      <c r="L58" s="6"/>
      <c r="M58" s="11" t="str">
        <f aca="true">IF($D58="","",IF($K58="Completed",IF($L58="",$H58,$L58),IF($H58="","",IF($H58&lt;TODAY(),TODAY(),$H58))))</f>
        <v/>
      </c>
      <c r="N58" s="12" t="str">
        <f aca="true">IF($D58="","",IF($K58="Completed","Completed",IF($H58="","No Due Date",IF($H58&lt;TODAY(),"Carried Forward",IF($H58=TODAY(),"Due Today","Upcoming")))))</f>
        <v/>
      </c>
      <c r="O58" s="5" t="str">
        <f aca="true">IF($D58="","",IF($I58="","",IF($K58="Completed","",$I58-TODAY())))</f>
        <v/>
      </c>
      <c r="P58" s="5" t="str">
        <f aca="true">IF($D58="","",IF($B58="","",IF($K58="Completed",IF($L58="","",$L58-$B58),TODAY()-$B58)))</f>
        <v/>
      </c>
      <c r="Q58" s="5" t="str">
        <f aca="false">IF($D58="","",IF($K58="Completed","",MAX($Q$1:$Q57)+1))</f>
        <v/>
      </c>
      <c r="R58" s="7"/>
    </row>
    <row r="59" customFormat="false" ht="15" hidden="false" customHeight="false" outlineLevel="0" collapsed="false">
      <c r="A59" s="5" t="str">
        <f aca="false">IF($D59="","",ROW()-1)</f>
        <v/>
      </c>
      <c r="B59" s="6"/>
      <c r="C59" s="7"/>
      <c r="D59" s="7"/>
      <c r="E59" s="7"/>
      <c r="F59" s="7"/>
      <c r="G59" s="8"/>
      <c r="H59" s="6"/>
      <c r="I59" s="9"/>
      <c r="J59" s="10"/>
      <c r="K59" s="8"/>
      <c r="L59" s="6"/>
      <c r="M59" s="11" t="str">
        <f aca="true">IF($D59="","",IF($K59="Completed",IF($L59="",$H59,$L59),IF($H59="","",IF($H59&lt;TODAY(),TODAY(),$H59))))</f>
        <v/>
      </c>
      <c r="N59" s="12" t="str">
        <f aca="true">IF($D59="","",IF($K59="Completed","Completed",IF($H59="","No Due Date",IF($H59&lt;TODAY(),"Carried Forward",IF($H59=TODAY(),"Due Today","Upcoming")))))</f>
        <v/>
      </c>
      <c r="O59" s="5" t="str">
        <f aca="true">IF($D59="","",IF($I59="","",IF($K59="Completed","",$I59-TODAY())))</f>
        <v/>
      </c>
      <c r="P59" s="5" t="str">
        <f aca="true">IF($D59="","",IF($B59="","",IF($K59="Completed",IF($L59="","",$L59-$B59),TODAY()-$B59)))</f>
        <v/>
      </c>
      <c r="Q59" s="5" t="str">
        <f aca="false">IF($D59="","",IF($K59="Completed","",MAX($Q$1:$Q58)+1))</f>
        <v/>
      </c>
      <c r="R59" s="7"/>
    </row>
    <row r="60" customFormat="false" ht="15" hidden="false" customHeight="false" outlineLevel="0" collapsed="false">
      <c r="A60" s="5" t="str">
        <f aca="false">IF($D60="","",ROW()-1)</f>
        <v/>
      </c>
      <c r="B60" s="6"/>
      <c r="C60" s="7"/>
      <c r="D60" s="7"/>
      <c r="E60" s="7"/>
      <c r="F60" s="7"/>
      <c r="G60" s="8"/>
      <c r="H60" s="6"/>
      <c r="I60" s="9"/>
      <c r="J60" s="10"/>
      <c r="K60" s="8"/>
      <c r="L60" s="6"/>
      <c r="M60" s="11" t="str">
        <f aca="true">IF($D60="","",IF($K60="Completed",IF($L60="",$H60,$L60),IF($H60="","",IF($H60&lt;TODAY(),TODAY(),$H60))))</f>
        <v/>
      </c>
      <c r="N60" s="12" t="str">
        <f aca="true">IF($D60="","",IF($K60="Completed","Completed",IF($H60="","No Due Date",IF($H60&lt;TODAY(),"Carried Forward",IF($H60=TODAY(),"Due Today","Upcoming")))))</f>
        <v/>
      </c>
      <c r="O60" s="5" t="str">
        <f aca="true">IF($D60="","",IF($I60="","",IF($K60="Completed","",$I60-TODAY())))</f>
        <v/>
      </c>
      <c r="P60" s="5" t="str">
        <f aca="true">IF($D60="","",IF($B60="","",IF($K60="Completed",IF($L60="","",$L60-$B60),TODAY()-$B60)))</f>
        <v/>
      </c>
      <c r="Q60" s="5" t="str">
        <f aca="false">IF($D60="","",IF($K60="Completed","",MAX($Q$1:$Q59)+1))</f>
        <v/>
      </c>
      <c r="R60" s="7"/>
    </row>
    <row r="61" customFormat="false" ht="15" hidden="false" customHeight="false" outlineLevel="0" collapsed="false">
      <c r="A61" s="5" t="str">
        <f aca="false">IF($D61="","",ROW()-1)</f>
        <v/>
      </c>
      <c r="B61" s="6"/>
      <c r="C61" s="7"/>
      <c r="D61" s="7"/>
      <c r="E61" s="7"/>
      <c r="F61" s="7"/>
      <c r="G61" s="8"/>
      <c r="H61" s="6"/>
      <c r="I61" s="9"/>
      <c r="J61" s="10"/>
      <c r="K61" s="8"/>
      <c r="L61" s="6"/>
      <c r="M61" s="11" t="str">
        <f aca="true">IF($D61="","",IF($K61="Completed",IF($L61="",$H61,$L61),IF($H61="","",IF($H61&lt;TODAY(),TODAY(),$H61))))</f>
        <v/>
      </c>
      <c r="N61" s="12" t="str">
        <f aca="true">IF($D61="","",IF($K61="Completed","Completed",IF($H61="","No Due Date",IF($H61&lt;TODAY(),"Carried Forward",IF($H61=TODAY(),"Due Today","Upcoming")))))</f>
        <v/>
      </c>
      <c r="O61" s="5" t="str">
        <f aca="true">IF($D61="","",IF($I61="","",IF($K61="Completed","",$I61-TODAY())))</f>
        <v/>
      </c>
      <c r="P61" s="5" t="str">
        <f aca="true">IF($D61="","",IF($B61="","",IF($K61="Completed",IF($L61="","",$L61-$B61),TODAY()-$B61)))</f>
        <v/>
      </c>
      <c r="Q61" s="5" t="str">
        <f aca="false">IF($D61="","",IF($K61="Completed","",MAX($Q$1:$Q60)+1))</f>
        <v/>
      </c>
      <c r="R61" s="7"/>
    </row>
    <row r="62" customFormat="false" ht="15" hidden="false" customHeight="false" outlineLevel="0" collapsed="false">
      <c r="A62" s="5" t="str">
        <f aca="false">IF($D62="","",ROW()-1)</f>
        <v/>
      </c>
      <c r="B62" s="6"/>
      <c r="C62" s="7"/>
      <c r="D62" s="7"/>
      <c r="E62" s="7"/>
      <c r="F62" s="7"/>
      <c r="G62" s="8"/>
      <c r="H62" s="6"/>
      <c r="I62" s="9"/>
      <c r="J62" s="10"/>
      <c r="K62" s="8"/>
      <c r="L62" s="6"/>
      <c r="M62" s="11" t="str">
        <f aca="true">IF($D62="","",IF($K62="Completed",IF($L62="",$H62,$L62),IF($H62="","",IF($H62&lt;TODAY(),TODAY(),$H62))))</f>
        <v/>
      </c>
      <c r="N62" s="12" t="str">
        <f aca="true">IF($D62="","",IF($K62="Completed","Completed",IF($H62="","No Due Date",IF($H62&lt;TODAY(),"Carried Forward",IF($H62=TODAY(),"Due Today","Upcoming")))))</f>
        <v/>
      </c>
      <c r="O62" s="5" t="str">
        <f aca="true">IF($D62="","",IF($I62="","",IF($K62="Completed","",$I62-TODAY())))</f>
        <v/>
      </c>
      <c r="P62" s="5" t="str">
        <f aca="true">IF($D62="","",IF($B62="","",IF($K62="Completed",IF($L62="","",$L62-$B62),TODAY()-$B62)))</f>
        <v/>
      </c>
      <c r="Q62" s="5" t="str">
        <f aca="false">IF($D62="","",IF($K62="Completed","",MAX($Q$1:$Q61)+1))</f>
        <v/>
      </c>
      <c r="R62" s="7"/>
    </row>
    <row r="63" customFormat="false" ht="15" hidden="false" customHeight="false" outlineLevel="0" collapsed="false">
      <c r="A63" s="5" t="str">
        <f aca="false">IF($D63="","",ROW()-1)</f>
        <v/>
      </c>
      <c r="B63" s="6"/>
      <c r="C63" s="7"/>
      <c r="D63" s="7"/>
      <c r="E63" s="7"/>
      <c r="F63" s="7"/>
      <c r="G63" s="8"/>
      <c r="H63" s="6"/>
      <c r="I63" s="9"/>
      <c r="J63" s="10"/>
      <c r="K63" s="8"/>
      <c r="L63" s="6"/>
      <c r="M63" s="11" t="str">
        <f aca="true">IF($D63="","",IF($K63="Completed",IF($L63="",$H63,$L63),IF($H63="","",IF($H63&lt;TODAY(),TODAY(),$H63))))</f>
        <v/>
      </c>
      <c r="N63" s="12" t="str">
        <f aca="true">IF($D63="","",IF($K63="Completed","Completed",IF($H63="","No Due Date",IF($H63&lt;TODAY(),"Carried Forward",IF($H63=TODAY(),"Due Today","Upcoming")))))</f>
        <v/>
      </c>
      <c r="O63" s="5" t="str">
        <f aca="true">IF($D63="","",IF($I63="","",IF($K63="Completed","",$I63-TODAY())))</f>
        <v/>
      </c>
      <c r="P63" s="5" t="str">
        <f aca="true">IF($D63="","",IF($B63="","",IF($K63="Completed",IF($L63="","",$L63-$B63),TODAY()-$B63)))</f>
        <v/>
      </c>
      <c r="Q63" s="5" t="str">
        <f aca="false">IF($D63="","",IF($K63="Completed","",MAX($Q$1:$Q62)+1))</f>
        <v/>
      </c>
      <c r="R63" s="7"/>
    </row>
    <row r="64" customFormat="false" ht="15" hidden="false" customHeight="false" outlineLevel="0" collapsed="false">
      <c r="A64" s="5" t="str">
        <f aca="false">IF($D64="","",ROW()-1)</f>
        <v/>
      </c>
      <c r="B64" s="6"/>
      <c r="C64" s="7"/>
      <c r="D64" s="7"/>
      <c r="E64" s="7"/>
      <c r="F64" s="7"/>
      <c r="G64" s="8"/>
      <c r="H64" s="6"/>
      <c r="I64" s="9"/>
      <c r="J64" s="10"/>
      <c r="K64" s="8"/>
      <c r="L64" s="6"/>
      <c r="M64" s="11" t="str">
        <f aca="true">IF($D64="","",IF($K64="Completed",IF($L64="",$H64,$L64),IF($H64="","",IF($H64&lt;TODAY(),TODAY(),$H64))))</f>
        <v/>
      </c>
      <c r="N64" s="12" t="str">
        <f aca="true">IF($D64="","",IF($K64="Completed","Completed",IF($H64="","No Due Date",IF($H64&lt;TODAY(),"Carried Forward",IF($H64=TODAY(),"Due Today","Upcoming")))))</f>
        <v/>
      </c>
      <c r="O64" s="5" t="str">
        <f aca="true">IF($D64="","",IF($I64="","",IF($K64="Completed","",$I64-TODAY())))</f>
        <v/>
      </c>
      <c r="P64" s="5" t="str">
        <f aca="true">IF($D64="","",IF($B64="","",IF($K64="Completed",IF($L64="","",$L64-$B64),TODAY()-$B64)))</f>
        <v/>
      </c>
      <c r="Q64" s="5" t="str">
        <f aca="false">IF($D64="","",IF($K64="Completed","",MAX($Q$1:$Q63)+1))</f>
        <v/>
      </c>
      <c r="R64" s="7"/>
    </row>
    <row r="65" customFormat="false" ht="15" hidden="false" customHeight="false" outlineLevel="0" collapsed="false">
      <c r="A65" s="5" t="str">
        <f aca="false">IF($D65="","",ROW()-1)</f>
        <v/>
      </c>
      <c r="B65" s="6"/>
      <c r="C65" s="7"/>
      <c r="D65" s="7"/>
      <c r="E65" s="7"/>
      <c r="F65" s="7"/>
      <c r="G65" s="8"/>
      <c r="H65" s="6"/>
      <c r="I65" s="9"/>
      <c r="J65" s="10"/>
      <c r="K65" s="8"/>
      <c r="L65" s="6"/>
      <c r="M65" s="11" t="str">
        <f aca="true">IF($D65="","",IF($K65="Completed",IF($L65="",$H65,$L65),IF($H65="","",IF($H65&lt;TODAY(),TODAY(),$H65))))</f>
        <v/>
      </c>
      <c r="N65" s="12" t="str">
        <f aca="true">IF($D65="","",IF($K65="Completed","Completed",IF($H65="","No Due Date",IF($H65&lt;TODAY(),"Carried Forward",IF($H65=TODAY(),"Due Today","Upcoming")))))</f>
        <v/>
      </c>
      <c r="O65" s="5" t="str">
        <f aca="true">IF($D65="","",IF($I65="","",IF($K65="Completed","",$I65-TODAY())))</f>
        <v/>
      </c>
      <c r="P65" s="5" t="str">
        <f aca="true">IF($D65="","",IF($B65="","",IF($K65="Completed",IF($L65="","",$L65-$B65),TODAY()-$B65)))</f>
        <v/>
      </c>
      <c r="Q65" s="5" t="str">
        <f aca="false">IF($D65="","",IF($K65="Completed","",MAX($Q$1:$Q64)+1))</f>
        <v/>
      </c>
      <c r="R65" s="7"/>
    </row>
    <row r="66" customFormat="false" ht="15" hidden="false" customHeight="false" outlineLevel="0" collapsed="false">
      <c r="A66" s="5" t="str">
        <f aca="false">IF($D66="","",ROW()-1)</f>
        <v/>
      </c>
      <c r="B66" s="6"/>
      <c r="C66" s="7"/>
      <c r="D66" s="7"/>
      <c r="E66" s="7"/>
      <c r="F66" s="7"/>
      <c r="G66" s="8"/>
      <c r="H66" s="6"/>
      <c r="I66" s="9"/>
      <c r="J66" s="10"/>
      <c r="K66" s="8"/>
      <c r="L66" s="6"/>
      <c r="M66" s="11" t="str">
        <f aca="true">IF($D66="","",IF($K66="Completed",IF($L66="",$H66,$L66),IF($H66="","",IF($H66&lt;TODAY(),TODAY(),$H66))))</f>
        <v/>
      </c>
      <c r="N66" s="12" t="str">
        <f aca="true">IF($D66="","",IF($K66="Completed","Completed",IF($H66="","No Due Date",IF($H66&lt;TODAY(),"Carried Forward",IF($H66=TODAY(),"Due Today","Upcoming")))))</f>
        <v/>
      </c>
      <c r="O66" s="5" t="str">
        <f aca="true">IF($D66="","",IF($I66="","",IF($K66="Completed","",$I66-TODAY())))</f>
        <v/>
      </c>
      <c r="P66" s="5" t="str">
        <f aca="true">IF($D66="","",IF($B66="","",IF($K66="Completed",IF($L66="","",$L66-$B66),TODAY()-$B66)))</f>
        <v/>
      </c>
      <c r="Q66" s="5" t="str">
        <f aca="false">IF($D66="","",IF($K66="Completed","",MAX($Q$1:$Q65)+1))</f>
        <v/>
      </c>
      <c r="R66" s="7"/>
    </row>
    <row r="67" customFormat="false" ht="15" hidden="false" customHeight="false" outlineLevel="0" collapsed="false">
      <c r="A67" s="5" t="str">
        <f aca="false">IF($D67="","",ROW()-1)</f>
        <v/>
      </c>
      <c r="B67" s="6"/>
      <c r="C67" s="7"/>
      <c r="D67" s="7"/>
      <c r="E67" s="7"/>
      <c r="F67" s="7"/>
      <c r="G67" s="8"/>
      <c r="H67" s="6"/>
      <c r="I67" s="9"/>
      <c r="J67" s="10"/>
      <c r="K67" s="8"/>
      <c r="L67" s="6"/>
      <c r="M67" s="11" t="str">
        <f aca="true">IF($D67="","",IF($K67="Completed",IF($L67="",$H67,$L67),IF($H67="","",IF($H67&lt;TODAY(),TODAY(),$H67))))</f>
        <v/>
      </c>
      <c r="N67" s="12" t="str">
        <f aca="true">IF($D67="","",IF($K67="Completed","Completed",IF($H67="","No Due Date",IF($H67&lt;TODAY(),"Carried Forward",IF($H67=TODAY(),"Due Today","Upcoming")))))</f>
        <v/>
      </c>
      <c r="O67" s="5" t="str">
        <f aca="true">IF($D67="","",IF($I67="","",IF($K67="Completed","",$I67-TODAY())))</f>
        <v/>
      </c>
      <c r="P67" s="5" t="str">
        <f aca="true">IF($D67="","",IF($B67="","",IF($K67="Completed",IF($L67="","",$L67-$B67),TODAY()-$B67)))</f>
        <v/>
      </c>
      <c r="Q67" s="5" t="str">
        <f aca="false">IF($D67="","",IF($K67="Completed","",MAX($Q$1:$Q66)+1))</f>
        <v/>
      </c>
      <c r="R67" s="7"/>
    </row>
    <row r="68" customFormat="false" ht="15" hidden="false" customHeight="false" outlineLevel="0" collapsed="false">
      <c r="A68" s="5" t="str">
        <f aca="false">IF($D68="","",ROW()-1)</f>
        <v/>
      </c>
      <c r="B68" s="6"/>
      <c r="C68" s="7"/>
      <c r="D68" s="7"/>
      <c r="E68" s="7"/>
      <c r="F68" s="7"/>
      <c r="G68" s="8"/>
      <c r="H68" s="6"/>
      <c r="I68" s="9"/>
      <c r="J68" s="10"/>
      <c r="K68" s="8"/>
      <c r="L68" s="6"/>
      <c r="M68" s="11" t="str">
        <f aca="true">IF($D68="","",IF($K68="Completed",IF($L68="",$H68,$L68),IF($H68="","",IF($H68&lt;TODAY(),TODAY(),$H68))))</f>
        <v/>
      </c>
      <c r="N68" s="12" t="str">
        <f aca="true">IF($D68="","",IF($K68="Completed","Completed",IF($H68="","No Due Date",IF($H68&lt;TODAY(),"Carried Forward",IF($H68=TODAY(),"Due Today","Upcoming")))))</f>
        <v/>
      </c>
      <c r="O68" s="5" t="str">
        <f aca="true">IF($D68="","",IF($I68="","",IF($K68="Completed","",$I68-TODAY())))</f>
        <v/>
      </c>
      <c r="P68" s="5" t="str">
        <f aca="true">IF($D68="","",IF($B68="","",IF($K68="Completed",IF($L68="","",$L68-$B68),TODAY()-$B68)))</f>
        <v/>
      </c>
      <c r="Q68" s="5" t="str">
        <f aca="false">IF($D68="","",IF($K68="Completed","",MAX($Q$1:$Q67)+1))</f>
        <v/>
      </c>
      <c r="R68" s="7"/>
    </row>
    <row r="69" customFormat="false" ht="15" hidden="false" customHeight="false" outlineLevel="0" collapsed="false">
      <c r="A69" s="5" t="str">
        <f aca="false">IF($D69="","",ROW()-1)</f>
        <v/>
      </c>
      <c r="B69" s="6"/>
      <c r="C69" s="7"/>
      <c r="D69" s="7"/>
      <c r="E69" s="7"/>
      <c r="F69" s="7"/>
      <c r="G69" s="8"/>
      <c r="H69" s="6"/>
      <c r="I69" s="9"/>
      <c r="J69" s="10"/>
      <c r="K69" s="8"/>
      <c r="L69" s="6"/>
      <c r="M69" s="11" t="str">
        <f aca="true">IF($D69="","",IF($K69="Completed",IF($L69="",$H69,$L69),IF($H69="","",IF($H69&lt;TODAY(),TODAY(),$H69))))</f>
        <v/>
      </c>
      <c r="N69" s="12" t="str">
        <f aca="true">IF($D69="","",IF($K69="Completed","Completed",IF($H69="","No Due Date",IF($H69&lt;TODAY(),"Carried Forward",IF($H69=TODAY(),"Due Today","Upcoming")))))</f>
        <v/>
      </c>
      <c r="O69" s="5" t="str">
        <f aca="true">IF($D69="","",IF($I69="","",IF($K69="Completed","",$I69-TODAY())))</f>
        <v/>
      </c>
      <c r="P69" s="5" t="str">
        <f aca="true">IF($D69="","",IF($B69="","",IF($K69="Completed",IF($L69="","",$L69-$B69),TODAY()-$B69)))</f>
        <v/>
      </c>
      <c r="Q69" s="5" t="str">
        <f aca="false">IF($D69="","",IF($K69="Completed","",MAX($Q$1:$Q68)+1))</f>
        <v/>
      </c>
      <c r="R69" s="7"/>
    </row>
    <row r="70" customFormat="false" ht="15" hidden="false" customHeight="false" outlineLevel="0" collapsed="false">
      <c r="A70" s="5" t="str">
        <f aca="false">IF($D70="","",ROW()-1)</f>
        <v/>
      </c>
      <c r="B70" s="6"/>
      <c r="C70" s="7"/>
      <c r="D70" s="7"/>
      <c r="E70" s="7"/>
      <c r="F70" s="7"/>
      <c r="G70" s="8"/>
      <c r="H70" s="6"/>
      <c r="I70" s="9"/>
      <c r="J70" s="10"/>
      <c r="K70" s="8"/>
      <c r="L70" s="6"/>
      <c r="M70" s="11" t="str">
        <f aca="true">IF($D70="","",IF($K70="Completed",IF($L70="",$H70,$L70),IF($H70="","",IF($H70&lt;TODAY(),TODAY(),$H70))))</f>
        <v/>
      </c>
      <c r="N70" s="12" t="str">
        <f aca="true">IF($D70="","",IF($K70="Completed","Completed",IF($H70="","No Due Date",IF($H70&lt;TODAY(),"Carried Forward",IF($H70=TODAY(),"Due Today","Upcoming")))))</f>
        <v/>
      </c>
      <c r="O70" s="5" t="str">
        <f aca="true">IF($D70="","",IF($I70="","",IF($K70="Completed","",$I70-TODAY())))</f>
        <v/>
      </c>
      <c r="P70" s="5" t="str">
        <f aca="true">IF($D70="","",IF($B70="","",IF($K70="Completed",IF($L70="","",$L70-$B70),TODAY()-$B70)))</f>
        <v/>
      </c>
      <c r="Q70" s="5" t="str">
        <f aca="false">IF($D70="","",IF($K70="Completed","",MAX($Q$1:$Q69)+1))</f>
        <v/>
      </c>
      <c r="R70" s="7"/>
    </row>
    <row r="71" customFormat="false" ht="15" hidden="false" customHeight="false" outlineLevel="0" collapsed="false">
      <c r="A71" s="5" t="str">
        <f aca="false">IF($D71="","",ROW()-1)</f>
        <v/>
      </c>
      <c r="B71" s="6"/>
      <c r="C71" s="7"/>
      <c r="D71" s="7"/>
      <c r="E71" s="7"/>
      <c r="F71" s="7"/>
      <c r="G71" s="8"/>
      <c r="H71" s="6"/>
      <c r="I71" s="9"/>
      <c r="J71" s="10"/>
      <c r="K71" s="8"/>
      <c r="L71" s="6"/>
      <c r="M71" s="11" t="str">
        <f aca="true">IF($D71="","",IF($K71="Completed",IF($L71="",$H71,$L71),IF($H71="","",IF($H71&lt;TODAY(),TODAY(),$H71))))</f>
        <v/>
      </c>
      <c r="N71" s="12" t="str">
        <f aca="true">IF($D71="","",IF($K71="Completed","Completed",IF($H71="","No Due Date",IF($H71&lt;TODAY(),"Carried Forward",IF($H71=TODAY(),"Due Today","Upcoming")))))</f>
        <v/>
      </c>
      <c r="O71" s="5" t="str">
        <f aca="true">IF($D71="","",IF($I71="","",IF($K71="Completed","",$I71-TODAY())))</f>
        <v/>
      </c>
      <c r="P71" s="5" t="str">
        <f aca="true">IF($D71="","",IF($B71="","",IF($K71="Completed",IF($L71="","",$L71-$B71),TODAY()-$B71)))</f>
        <v/>
      </c>
      <c r="Q71" s="5" t="str">
        <f aca="false">IF($D71="","",IF($K71="Completed","",MAX($Q$1:$Q70)+1))</f>
        <v/>
      </c>
      <c r="R71" s="7"/>
    </row>
    <row r="72" customFormat="false" ht="15" hidden="false" customHeight="false" outlineLevel="0" collapsed="false">
      <c r="A72" s="5" t="str">
        <f aca="false">IF($D72="","",ROW()-1)</f>
        <v/>
      </c>
      <c r="B72" s="6"/>
      <c r="C72" s="7"/>
      <c r="D72" s="7"/>
      <c r="E72" s="7"/>
      <c r="F72" s="7"/>
      <c r="G72" s="8"/>
      <c r="H72" s="6"/>
      <c r="I72" s="9"/>
      <c r="J72" s="10"/>
      <c r="K72" s="8"/>
      <c r="L72" s="6"/>
      <c r="M72" s="11" t="str">
        <f aca="true">IF($D72="","",IF($K72="Completed",IF($L72="",$H72,$L72),IF($H72="","",IF($H72&lt;TODAY(),TODAY(),$H72))))</f>
        <v/>
      </c>
      <c r="N72" s="12" t="str">
        <f aca="true">IF($D72="","",IF($K72="Completed","Completed",IF($H72="","No Due Date",IF($H72&lt;TODAY(),"Carried Forward",IF($H72=TODAY(),"Due Today","Upcoming")))))</f>
        <v/>
      </c>
      <c r="O72" s="5" t="str">
        <f aca="true">IF($D72="","",IF($I72="","",IF($K72="Completed","",$I72-TODAY())))</f>
        <v/>
      </c>
      <c r="P72" s="5" t="str">
        <f aca="true">IF($D72="","",IF($B72="","",IF($K72="Completed",IF($L72="","",$L72-$B72),TODAY()-$B72)))</f>
        <v/>
      </c>
      <c r="Q72" s="5" t="str">
        <f aca="false">IF($D72="","",IF($K72="Completed","",MAX($Q$1:$Q71)+1))</f>
        <v/>
      </c>
      <c r="R72" s="7"/>
    </row>
    <row r="73" customFormat="false" ht="15" hidden="false" customHeight="false" outlineLevel="0" collapsed="false">
      <c r="A73" s="5" t="str">
        <f aca="false">IF($D73="","",ROW()-1)</f>
        <v/>
      </c>
      <c r="B73" s="6"/>
      <c r="C73" s="7"/>
      <c r="D73" s="7"/>
      <c r="E73" s="7"/>
      <c r="F73" s="7"/>
      <c r="G73" s="8"/>
      <c r="H73" s="6"/>
      <c r="I73" s="9"/>
      <c r="J73" s="10"/>
      <c r="K73" s="8"/>
      <c r="L73" s="6"/>
      <c r="M73" s="11" t="str">
        <f aca="true">IF($D73="","",IF($K73="Completed",IF($L73="",$H73,$L73),IF($H73="","",IF($H73&lt;TODAY(),TODAY(),$H73))))</f>
        <v/>
      </c>
      <c r="N73" s="12" t="str">
        <f aca="true">IF($D73="","",IF($K73="Completed","Completed",IF($H73="","No Due Date",IF($H73&lt;TODAY(),"Carried Forward",IF($H73=TODAY(),"Due Today","Upcoming")))))</f>
        <v/>
      </c>
      <c r="O73" s="5" t="str">
        <f aca="true">IF($D73="","",IF($I73="","",IF($K73="Completed","",$I73-TODAY())))</f>
        <v/>
      </c>
      <c r="P73" s="5" t="str">
        <f aca="true">IF($D73="","",IF($B73="","",IF($K73="Completed",IF($L73="","",$L73-$B73),TODAY()-$B73)))</f>
        <v/>
      </c>
      <c r="Q73" s="5" t="str">
        <f aca="false">IF($D73="","",IF($K73="Completed","",MAX($Q$1:$Q72)+1))</f>
        <v/>
      </c>
      <c r="R73" s="7"/>
    </row>
    <row r="74" customFormat="false" ht="15" hidden="false" customHeight="false" outlineLevel="0" collapsed="false">
      <c r="A74" s="5" t="str">
        <f aca="false">IF($D74="","",ROW()-1)</f>
        <v/>
      </c>
      <c r="B74" s="6"/>
      <c r="C74" s="7"/>
      <c r="D74" s="7"/>
      <c r="E74" s="7"/>
      <c r="F74" s="7"/>
      <c r="G74" s="8"/>
      <c r="H74" s="6"/>
      <c r="I74" s="9"/>
      <c r="J74" s="10"/>
      <c r="K74" s="8"/>
      <c r="L74" s="6"/>
      <c r="M74" s="11" t="str">
        <f aca="true">IF($D74="","",IF($K74="Completed",IF($L74="",$H74,$L74),IF($H74="","",IF($H74&lt;TODAY(),TODAY(),$H74))))</f>
        <v/>
      </c>
      <c r="N74" s="12" t="str">
        <f aca="true">IF($D74="","",IF($K74="Completed","Completed",IF($H74="","No Due Date",IF($H74&lt;TODAY(),"Carried Forward",IF($H74=TODAY(),"Due Today","Upcoming")))))</f>
        <v/>
      </c>
      <c r="O74" s="5" t="str">
        <f aca="true">IF($D74="","",IF($I74="","",IF($K74="Completed","",$I74-TODAY())))</f>
        <v/>
      </c>
      <c r="P74" s="5" t="str">
        <f aca="true">IF($D74="","",IF($B74="","",IF($K74="Completed",IF($L74="","",$L74-$B74),TODAY()-$B74)))</f>
        <v/>
      </c>
      <c r="Q74" s="5" t="str">
        <f aca="false">IF($D74="","",IF($K74="Completed","",MAX($Q$1:$Q73)+1))</f>
        <v/>
      </c>
      <c r="R74" s="7"/>
    </row>
    <row r="75" customFormat="false" ht="15" hidden="false" customHeight="false" outlineLevel="0" collapsed="false">
      <c r="A75" s="5" t="str">
        <f aca="false">IF($D75="","",ROW()-1)</f>
        <v/>
      </c>
      <c r="B75" s="6"/>
      <c r="C75" s="7"/>
      <c r="D75" s="7"/>
      <c r="E75" s="7"/>
      <c r="F75" s="7"/>
      <c r="G75" s="8"/>
      <c r="H75" s="6"/>
      <c r="I75" s="9"/>
      <c r="J75" s="10"/>
      <c r="K75" s="8"/>
      <c r="L75" s="6"/>
      <c r="M75" s="11" t="str">
        <f aca="true">IF($D75="","",IF($K75="Completed",IF($L75="",$H75,$L75),IF($H75="","",IF($H75&lt;TODAY(),TODAY(),$H75))))</f>
        <v/>
      </c>
      <c r="N75" s="12" t="str">
        <f aca="true">IF($D75="","",IF($K75="Completed","Completed",IF($H75="","No Due Date",IF($H75&lt;TODAY(),"Carried Forward",IF($H75=TODAY(),"Due Today","Upcoming")))))</f>
        <v/>
      </c>
      <c r="O75" s="5" t="str">
        <f aca="true">IF($D75="","",IF($I75="","",IF($K75="Completed","",$I75-TODAY())))</f>
        <v/>
      </c>
      <c r="P75" s="5" t="str">
        <f aca="true">IF($D75="","",IF($B75="","",IF($K75="Completed",IF($L75="","",$L75-$B75),TODAY()-$B75)))</f>
        <v/>
      </c>
      <c r="Q75" s="5" t="str">
        <f aca="false">IF($D75="","",IF($K75="Completed","",MAX($Q$1:$Q74)+1))</f>
        <v/>
      </c>
      <c r="R75" s="7"/>
    </row>
    <row r="76" customFormat="false" ht="15" hidden="false" customHeight="false" outlineLevel="0" collapsed="false">
      <c r="A76" s="5" t="str">
        <f aca="false">IF($D76="","",ROW()-1)</f>
        <v/>
      </c>
      <c r="B76" s="6"/>
      <c r="C76" s="7"/>
      <c r="D76" s="7"/>
      <c r="E76" s="7"/>
      <c r="F76" s="7"/>
      <c r="G76" s="8"/>
      <c r="H76" s="6"/>
      <c r="I76" s="9"/>
      <c r="J76" s="10"/>
      <c r="K76" s="8"/>
      <c r="L76" s="6"/>
      <c r="M76" s="11" t="str">
        <f aca="true">IF($D76="","",IF($K76="Completed",IF($L76="",$H76,$L76),IF($H76="","",IF($H76&lt;TODAY(),TODAY(),$H76))))</f>
        <v/>
      </c>
      <c r="N76" s="12" t="str">
        <f aca="true">IF($D76="","",IF($K76="Completed","Completed",IF($H76="","No Due Date",IF($H76&lt;TODAY(),"Carried Forward",IF($H76=TODAY(),"Due Today","Upcoming")))))</f>
        <v/>
      </c>
      <c r="O76" s="5" t="str">
        <f aca="true">IF($D76="","",IF($I76="","",IF($K76="Completed","",$I76-TODAY())))</f>
        <v/>
      </c>
      <c r="P76" s="5" t="str">
        <f aca="true">IF($D76="","",IF($B76="","",IF($K76="Completed",IF($L76="","",$L76-$B76),TODAY()-$B76)))</f>
        <v/>
      </c>
      <c r="Q76" s="5" t="str">
        <f aca="false">IF($D76="","",IF($K76="Completed","",MAX($Q$1:$Q75)+1))</f>
        <v/>
      </c>
      <c r="R76" s="7"/>
    </row>
    <row r="77" customFormat="false" ht="15" hidden="false" customHeight="false" outlineLevel="0" collapsed="false">
      <c r="A77" s="5" t="str">
        <f aca="false">IF($D77="","",ROW()-1)</f>
        <v/>
      </c>
      <c r="B77" s="6"/>
      <c r="C77" s="7"/>
      <c r="D77" s="7"/>
      <c r="E77" s="7"/>
      <c r="F77" s="7"/>
      <c r="G77" s="8"/>
      <c r="H77" s="6"/>
      <c r="I77" s="9"/>
      <c r="J77" s="10"/>
      <c r="K77" s="8"/>
      <c r="L77" s="6"/>
      <c r="M77" s="11" t="str">
        <f aca="true">IF($D77="","",IF($K77="Completed",IF($L77="",$H77,$L77),IF($H77="","",IF($H77&lt;TODAY(),TODAY(),$H77))))</f>
        <v/>
      </c>
      <c r="N77" s="12" t="str">
        <f aca="true">IF($D77="","",IF($K77="Completed","Completed",IF($H77="","No Due Date",IF($H77&lt;TODAY(),"Carried Forward",IF($H77=TODAY(),"Due Today","Upcoming")))))</f>
        <v/>
      </c>
      <c r="O77" s="5" t="str">
        <f aca="true">IF($D77="","",IF($I77="","",IF($K77="Completed","",$I77-TODAY())))</f>
        <v/>
      </c>
      <c r="P77" s="5" t="str">
        <f aca="true">IF($D77="","",IF($B77="","",IF($K77="Completed",IF($L77="","",$L77-$B77),TODAY()-$B77)))</f>
        <v/>
      </c>
      <c r="Q77" s="5" t="str">
        <f aca="false">IF($D77="","",IF($K77="Completed","",MAX($Q$1:$Q76)+1))</f>
        <v/>
      </c>
      <c r="R77" s="7"/>
    </row>
    <row r="78" customFormat="false" ht="15" hidden="false" customHeight="false" outlineLevel="0" collapsed="false">
      <c r="A78" s="5" t="str">
        <f aca="false">IF($D78="","",ROW()-1)</f>
        <v/>
      </c>
      <c r="B78" s="6"/>
      <c r="C78" s="7"/>
      <c r="D78" s="7"/>
      <c r="E78" s="7"/>
      <c r="F78" s="7"/>
      <c r="G78" s="8"/>
      <c r="H78" s="6"/>
      <c r="I78" s="9"/>
      <c r="J78" s="10"/>
      <c r="K78" s="8"/>
      <c r="L78" s="6"/>
      <c r="M78" s="11" t="str">
        <f aca="true">IF($D78="","",IF($K78="Completed",IF($L78="",$H78,$L78),IF($H78="","",IF($H78&lt;TODAY(),TODAY(),$H78))))</f>
        <v/>
      </c>
      <c r="N78" s="12" t="str">
        <f aca="true">IF($D78="","",IF($K78="Completed","Completed",IF($H78="","No Due Date",IF($H78&lt;TODAY(),"Carried Forward",IF($H78=TODAY(),"Due Today","Upcoming")))))</f>
        <v/>
      </c>
      <c r="O78" s="5" t="str">
        <f aca="true">IF($D78="","",IF($I78="","",IF($K78="Completed","",$I78-TODAY())))</f>
        <v/>
      </c>
      <c r="P78" s="5" t="str">
        <f aca="true">IF($D78="","",IF($B78="","",IF($K78="Completed",IF($L78="","",$L78-$B78),TODAY()-$B78)))</f>
        <v/>
      </c>
      <c r="Q78" s="5" t="str">
        <f aca="false">IF($D78="","",IF($K78="Completed","",MAX($Q$1:$Q77)+1))</f>
        <v/>
      </c>
      <c r="R78" s="7"/>
    </row>
    <row r="79" customFormat="false" ht="15" hidden="false" customHeight="false" outlineLevel="0" collapsed="false">
      <c r="A79" s="5" t="str">
        <f aca="false">IF($D79="","",ROW()-1)</f>
        <v/>
      </c>
      <c r="B79" s="6"/>
      <c r="C79" s="7"/>
      <c r="D79" s="7"/>
      <c r="E79" s="7"/>
      <c r="F79" s="7"/>
      <c r="G79" s="8"/>
      <c r="H79" s="6"/>
      <c r="I79" s="9"/>
      <c r="J79" s="10"/>
      <c r="K79" s="8"/>
      <c r="L79" s="6"/>
      <c r="M79" s="11" t="str">
        <f aca="true">IF($D79="","",IF($K79="Completed",IF($L79="",$H79,$L79),IF($H79="","",IF($H79&lt;TODAY(),TODAY(),$H79))))</f>
        <v/>
      </c>
      <c r="N79" s="12" t="str">
        <f aca="true">IF($D79="","",IF($K79="Completed","Completed",IF($H79="","No Due Date",IF($H79&lt;TODAY(),"Carried Forward",IF($H79=TODAY(),"Due Today","Upcoming")))))</f>
        <v/>
      </c>
      <c r="O79" s="5" t="str">
        <f aca="true">IF($D79="","",IF($I79="","",IF($K79="Completed","",$I79-TODAY())))</f>
        <v/>
      </c>
      <c r="P79" s="5" t="str">
        <f aca="true">IF($D79="","",IF($B79="","",IF($K79="Completed",IF($L79="","",$L79-$B79),TODAY()-$B79)))</f>
        <v/>
      </c>
      <c r="Q79" s="5" t="str">
        <f aca="false">IF($D79="","",IF($K79="Completed","",MAX($Q$1:$Q78)+1))</f>
        <v/>
      </c>
      <c r="R79" s="7"/>
    </row>
    <row r="80" customFormat="false" ht="15" hidden="false" customHeight="false" outlineLevel="0" collapsed="false">
      <c r="A80" s="5" t="str">
        <f aca="false">IF($D80="","",ROW()-1)</f>
        <v/>
      </c>
      <c r="B80" s="6"/>
      <c r="C80" s="7"/>
      <c r="D80" s="7"/>
      <c r="E80" s="7"/>
      <c r="F80" s="7"/>
      <c r="G80" s="8"/>
      <c r="H80" s="6"/>
      <c r="I80" s="9"/>
      <c r="J80" s="10"/>
      <c r="K80" s="8"/>
      <c r="L80" s="6"/>
      <c r="M80" s="11" t="str">
        <f aca="true">IF($D80="","",IF($K80="Completed",IF($L80="",$H80,$L80),IF($H80="","",IF($H80&lt;TODAY(),TODAY(),$H80))))</f>
        <v/>
      </c>
      <c r="N80" s="12" t="str">
        <f aca="true">IF($D80="","",IF($K80="Completed","Completed",IF($H80="","No Due Date",IF($H80&lt;TODAY(),"Carried Forward",IF($H80=TODAY(),"Due Today","Upcoming")))))</f>
        <v/>
      </c>
      <c r="O80" s="5" t="str">
        <f aca="true">IF($D80="","",IF($I80="","",IF($K80="Completed","",$I80-TODAY())))</f>
        <v/>
      </c>
      <c r="P80" s="5" t="str">
        <f aca="true">IF($D80="","",IF($B80="","",IF($K80="Completed",IF($L80="","",$L80-$B80),TODAY()-$B80)))</f>
        <v/>
      </c>
      <c r="Q80" s="5" t="str">
        <f aca="false">IF($D80="","",IF($K80="Completed","",MAX($Q$1:$Q79)+1))</f>
        <v/>
      </c>
      <c r="R80" s="7"/>
    </row>
    <row r="81" customFormat="false" ht="15" hidden="false" customHeight="false" outlineLevel="0" collapsed="false">
      <c r="A81" s="5" t="str">
        <f aca="false">IF($D81="","",ROW()-1)</f>
        <v/>
      </c>
      <c r="B81" s="6"/>
      <c r="C81" s="7"/>
      <c r="D81" s="7"/>
      <c r="E81" s="7"/>
      <c r="F81" s="7"/>
      <c r="G81" s="8"/>
      <c r="H81" s="6"/>
      <c r="I81" s="9"/>
      <c r="J81" s="10"/>
      <c r="K81" s="8"/>
      <c r="L81" s="6"/>
      <c r="M81" s="11" t="str">
        <f aca="true">IF($D81="","",IF($K81="Completed",IF($L81="",$H81,$L81),IF($H81="","",IF($H81&lt;TODAY(),TODAY(),$H81))))</f>
        <v/>
      </c>
      <c r="N81" s="12" t="str">
        <f aca="true">IF($D81="","",IF($K81="Completed","Completed",IF($H81="","No Due Date",IF($H81&lt;TODAY(),"Carried Forward",IF($H81=TODAY(),"Due Today","Upcoming")))))</f>
        <v/>
      </c>
      <c r="O81" s="5" t="str">
        <f aca="true">IF($D81="","",IF($I81="","",IF($K81="Completed","",$I81-TODAY())))</f>
        <v/>
      </c>
      <c r="P81" s="5" t="str">
        <f aca="true">IF($D81="","",IF($B81="","",IF($K81="Completed",IF($L81="","",$L81-$B81),TODAY()-$B81)))</f>
        <v/>
      </c>
      <c r="Q81" s="5" t="str">
        <f aca="false">IF($D81="","",IF($K81="Completed","",MAX($Q$1:$Q80)+1))</f>
        <v/>
      </c>
      <c r="R81" s="7"/>
    </row>
    <row r="82" customFormat="false" ht="15" hidden="false" customHeight="false" outlineLevel="0" collapsed="false">
      <c r="A82" s="5" t="str">
        <f aca="false">IF($D82="","",ROW()-1)</f>
        <v/>
      </c>
      <c r="B82" s="6"/>
      <c r="C82" s="7"/>
      <c r="D82" s="7"/>
      <c r="E82" s="7"/>
      <c r="F82" s="7"/>
      <c r="G82" s="8"/>
      <c r="H82" s="6"/>
      <c r="I82" s="9"/>
      <c r="J82" s="10"/>
      <c r="K82" s="8"/>
      <c r="L82" s="6"/>
      <c r="M82" s="11" t="str">
        <f aca="true">IF($D82="","",IF($K82="Completed",IF($L82="",$H82,$L82),IF($H82="","",IF($H82&lt;TODAY(),TODAY(),$H82))))</f>
        <v/>
      </c>
      <c r="N82" s="12" t="str">
        <f aca="true">IF($D82="","",IF($K82="Completed","Completed",IF($H82="","No Due Date",IF($H82&lt;TODAY(),"Carried Forward",IF($H82=TODAY(),"Due Today","Upcoming")))))</f>
        <v/>
      </c>
      <c r="O82" s="5" t="str">
        <f aca="true">IF($D82="","",IF($I82="","",IF($K82="Completed","",$I82-TODAY())))</f>
        <v/>
      </c>
      <c r="P82" s="5" t="str">
        <f aca="true">IF($D82="","",IF($B82="","",IF($K82="Completed",IF($L82="","",$L82-$B82),TODAY()-$B82)))</f>
        <v/>
      </c>
      <c r="Q82" s="5" t="str">
        <f aca="false">IF($D82="","",IF($K82="Completed","",MAX($Q$1:$Q81)+1))</f>
        <v/>
      </c>
      <c r="R82" s="7"/>
    </row>
    <row r="83" customFormat="false" ht="15" hidden="false" customHeight="false" outlineLevel="0" collapsed="false">
      <c r="A83" s="5" t="str">
        <f aca="false">IF($D83="","",ROW()-1)</f>
        <v/>
      </c>
      <c r="B83" s="6"/>
      <c r="C83" s="7"/>
      <c r="D83" s="7"/>
      <c r="E83" s="7"/>
      <c r="F83" s="7"/>
      <c r="G83" s="8"/>
      <c r="H83" s="6"/>
      <c r="I83" s="9"/>
      <c r="J83" s="10"/>
      <c r="K83" s="8"/>
      <c r="L83" s="6"/>
      <c r="M83" s="11" t="str">
        <f aca="true">IF($D83="","",IF($K83="Completed",IF($L83="",$H83,$L83),IF($H83="","",IF($H83&lt;TODAY(),TODAY(),$H83))))</f>
        <v/>
      </c>
      <c r="N83" s="12" t="str">
        <f aca="true">IF($D83="","",IF($K83="Completed","Completed",IF($H83="","No Due Date",IF($H83&lt;TODAY(),"Carried Forward",IF($H83=TODAY(),"Due Today","Upcoming")))))</f>
        <v/>
      </c>
      <c r="O83" s="5" t="str">
        <f aca="true">IF($D83="","",IF($I83="","",IF($K83="Completed","",$I83-TODAY())))</f>
        <v/>
      </c>
      <c r="P83" s="5" t="str">
        <f aca="true">IF($D83="","",IF($B83="","",IF($K83="Completed",IF($L83="","",$L83-$B83),TODAY()-$B83)))</f>
        <v/>
      </c>
      <c r="Q83" s="5" t="str">
        <f aca="false">IF($D83="","",IF($K83="Completed","",MAX($Q$1:$Q82)+1))</f>
        <v/>
      </c>
      <c r="R83" s="7"/>
    </row>
    <row r="84" customFormat="false" ht="15" hidden="false" customHeight="false" outlineLevel="0" collapsed="false">
      <c r="A84" s="5" t="str">
        <f aca="false">IF($D84="","",ROW()-1)</f>
        <v/>
      </c>
      <c r="B84" s="6"/>
      <c r="C84" s="7"/>
      <c r="D84" s="7"/>
      <c r="E84" s="7"/>
      <c r="F84" s="7"/>
      <c r="G84" s="8"/>
      <c r="H84" s="6"/>
      <c r="I84" s="9"/>
      <c r="J84" s="10"/>
      <c r="K84" s="8"/>
      <c r="L84" s="6"/>
      <c r="M84" s="11" t="str">
        <f aca="true">IF($D84="","",IF($K84="Completed",IF($L84="",$H84,$L84),IF($H84="","",IF($H84&lt;TODAY(),TODAY(),$H84))))</f>
        <v/>
      </c>
      <c r="N84" s="12" t="str">
        <f aca="true">IF($D84="","",IF($K84="Completed","Completed",IF($H84="","No Due Date",IF($H84&lt;TODAY(),"Carried Forward",IF($H84=TODAY(),"Due Today","Upcoming")))))</f>
        <v/>
      </c>
      <c r="O84" s="5" t="str">
        <f aca="true">IF($D84="","",IF($I84="","",IF($K84="Completed","",$I84-TODAY())))</f>
        <v/>
      </c>
      <c r="P84" s="5" t="str">
        <f aca="true">IF($D84="","",IF($B84="","",IF($K84="Completed",IF($L84="","",$L84-$B84),TODAY()-$B84)))</f>
        <v/>
      </c>
      <c r="Q84" s="5" t="str">
        <f aca="false">IF($D84="","",IF($K84="Completed","",MAX($Q$1:$Q83)+1))</f>
        <v/>
      </c>
      <c r="R84" s="7"/>
    </row>
    <row r="85" customFormat="false" ht="15" hidden="false" customHeight="false" outlineLevel="0" collapsed="false">
      <c r="A85" s="5" t="str">
        <f aca="false">IF($D85="","",ROW()-1)</f>
        <v/>
      </c>
      <c r="B85" s="6"/>
      <c r="C85" s="7"/>
      <c r="D85" s="7"/>
      <c r="E85" s="7"/>
      <c r="F85" s="7"/>
      <c r="G85" s="8"/>
      <c r="H85" s="6"/>
      <c r="I85" s="9"/>
      <c r="J85" s="10"/>
      <c r="K85" s="8"/>
      <c r="L85" s="6"/>
      <c r="M85" s="11" t="str">
        <f aca="true">IF($D85="","",IF($K85="Completed",IF($L85="",$H85,$L85),IF($H85="","",IF($H85&lt;TODAY(),TODAY(),$H85))))</f>
        <v/>
      </c>
      <c r="N85" s="12" t="str">
        <f aca="true">IF($D85="","",IF($K85="Completed","Completed",IF($H85="","No Due Date",IF($H85&lt;TODAY(),"Carried Forward",IF($H85=TODAY(),"Due Today","Upcoming")))))</f>
        <v/>
      </c>
      <c r="O85" s="5" t="str">
        <f aca="true">IF($D85="","",IF($I85="","",IF($K85="Completed","",$I85-TODAY())))</f>
        <v/>
      </c>
      <c r="P85" s="5" t="str">
        <f aca="true">IF($D85="","",IF($B85="","",IF($K85="Completed",IF($L85="","",$L85-$B85),TODAY()-$B85)))</f>
        <v/>
      </c>
      <c r="Q85" s="5" t="str">
        <f aca="false">IF($D85="","",IF($K85="Completed","",MAX($Q$1:$Q84)+1))</f>
        <v/>
      </c>
      <c r="R85" s="7"/>
    </row>
    <row r="86" customFormat="false" ht="15" hidden="false" customHeight="false" outlineLevel="0" collapsed="false">
      <c r="A86" s="5" t="str">
        <f aca="false">IF($D86="","",ROW()-1)</f>
        <v/>
      </c>
      <c r="B86" s="6"/>
      <c r="C86" s="7"/>
      <c r="D86" s="7"/>
      <c r="E86" s="7"/>
      <c r="F86" s="7"/>
      <c r="G86" s="8"/>
      <c r="H86" s="6"/>
      <c r="I86" s="9"/>
      <c r="J86" s="10"/>
      <c r="K86" s="8"/>
      <c r="L86" s="6"/>
      <c r="M86" s="11" t="str">
        <f aca="true">IF($D86="","",IF($K86="Completed",IF($L86="",$H86,$L86),IF($H86="","",IF($H86&lt;TODAY(),TODAY(),$H86))))</f>
        <v/>
      </c>
      <c r="N86" s="12" t="str">
        <f aca="true">IF($D86="","",IF($K86="Completed","Completed",IF($H86="","No Due Date",IF($H86&lt;TODAY(),"Carried Forward",IF($H86=TODAY(),"Due Today","Upcoming")))))</f>
        <v/>
      </c>
      <c r="O86" s="5" t="str">
        <f aca="true">IF($D86="","",IF($I86="","",IF($K86="Completed","",$I86-TODAY())))</f>
        <v/>
      </c>
      <c r="P86" s="5" t="str">
        <f aca="true">IF($D86="","",IF($B86="","",IF($K86="Completed",IF($L86="","",$L86-$B86),TODAY()-$B86)))</f>
        <v/>
      </c>
      <c r="Q86" s="5" t="str">
        <f aca="false">IF($D86="","",IF($K86="Completed","",MAX($Q$1:$Q85)+1))</f>
        <v/>
      </c>
      <c r="R86" s="7"/>
    </row>
    <row r="87" customFormat="false" ht="15" hidden="false" customHeight="false" outlineLevel="0" collapsed="false">
      <c r="A87" s="5" t="str">
        <f aca="false">IF($D87="","",ROW()-1)</f>
        <v/>
      </c>
      <c r="B87" s="6"/>
      <c r="C87" s="7"/>
      <c r="D87" s="7"/>
      <c r="E87" s="7"/>
      <c r="F87" s="7"/>
      <c r="G87" s="8"/>
      <c r="H87" s="6"/>
      <c r="I87" s="9"/>
      <c r="J87" s="10"/>
      <c r="K87" s="8"/>
      <c r="L87" s="6"/>
      <c r="M87" s="11" t="str">
        <f aca="true">IF($D87="","",IF($K87="Completed",IF($L87="",$H87,$L87),IF($H87="","",IF($H87&lt;TODAY(),TODAY(),$H87))))</f>
        <v/>
      </c>
      <c r="N87" s="12" t="str">
        <f aca="true">IF($D87="","",IF($K87="Completed","Completed",IF($H87="","No Due Date",IF($H87&lt;TODAY(),"Carried Forward",IF($H87=TODAY(),"Due Today","Upcoming")))))</f>
        <v/>
      </c>
      <c r="O87" s="5" t="str">
        <f aca="true">IF($D87="","",IF($I87="","",IF($K87="Completed","",$I87-TODAY())))</f>
        <v/>
      </c>
      <c r="P87" s="5" t="str">
        <f aca="true">IF($D87="","",IF($B87="","",IF($K87="Completed",IF($L87="","",$L87-$B87),TODAY()-$B87)))</f>
        <v/>
      </c>
      <c r="Q87" s="5" t="str">
        <f aca="false">IF($D87="","",IF($K87="Completed","",MAX($Q$1:$Q86)+1))</f>
        <v/>
      </c>
      <c r="R87" s="7"/>
    </row>
    <row r="88" customFormat="false" ht="15" hidden="false" customHeight="false" outlineLevel="0" collapsed="false">
      <c r="A88" s="5" t="str">
        <f aca="false">IF($D88="","",ROW()-1)</f>
        <v/>
      </c>
      <c r="B88" s="6"/>
      <c r="C88" s="7"/>
      <c r="D88" s="7"/>
      <c r="E88" s="7"/>
      <c r="F88" s="7"/>
      <c r="G88" s="8"/>
      <c r="H88" s="6"/>
      <c r="I88" s="9"/>
      <c r="J88" s="10"/>
      <c r="K88" s="8"/>
      <c r="L88" s="6"/>
      <c r="M88" s="11" t="str">
        <f aca="true">IF($D88="","",IF($K88="Completed",IF($L88="",$H88,$L88),IF($H88="","",IF($H88&lt;TODAY(),TODAY(),$H88))))</f>
        <v/>
      </c>
      <c r="N88" s="12" t="str">
        <f aca="true">IF($D88="","",IF($K88="Completed","Completed",IF($H88="","No Due Date",IF($H88&lt;TODAY(),"Carried Forward",IF($H88=TODAY(),"Due Today","Upcoming")))))</f>
        <v/>
      </c>
      <c r="O88" s="5" t="str">
        <f aca="true">IF($D88="","",IF($I88="","",IF($K88="Completed","",$I88-TODAY())))</f>
        <v/>
      </c>
      <c r="P88" s="5" t="str">
        <f aca="true">IF($D88="","",IF($B88="","",IF($K88="Completed",IF($L88="","",$L88-$B88),TODAY()-$B88)))</f>
        <v/>
      </c>
      <c r="Q88" s="5" t="str">
        <f aca="false">IF($D88="","",IF($K88="Completed","",MAX($Q$1:$Q87)+1))</f>
        <v/>
      </c>
      <c r="R88" s="7"/>
    </row>
    <row r="89" customFormat="false" ht="15" hidden="false" customHeight="false" outlineLevel="0" collapsed="false">
      <c r="A89" s="5" t="str">
        <f aca="false">IF($D89="","",ROW()-1)</f>
        <v/>
      </c>
      <c r="B89" s="6"/>
      <c r="C89" s="7"/>
      <c r="D89" s="7"/>
      <c r="E89" s="7"/>
      <c r="F89" s="7"/>
      <c r="G89" s="8"/>
      <c r="H89" s="6"/>
      <c r="I89" s="9"/>
      <c r="J89" s="10"/>
      <c r="K89" s="8"/>
      <c r="L89" s="6"/>
      <c r="M89" s="11" t="str">
        <f aca="true">IF($D89="","",IF($K89="Completed",IF($L89="",$H89,$L89),IF($H89="","",IF($H89&lt;TODAY(),TODAY(),$H89))))</f>
        <v/>
      </c>
      <c r="N89" s="12" t="str">
        <f aca="true">IF($D89="","",IF($K89="Completed","Completed",IF($H89="","No Due Date",IF($H89&lt;TODAY(),"Carried Forward",IF($H89=TODAY(),"Due Today","Upcoming")))))</f>
        <v/>
      </c>
      <c r="O89" s="5" t="str">
        <f aca="true">IF($D89="","",IF($I89="","",IF($K89="Completed","",$I89-TODAY())))</f>
        <v/>
      </c>
      <c r="P89" s="5" t="str">
        <f aca="true">IF($D89="","",IF($B89="","",IF($K89="Completed",IF($L89="","",$L89-$B89),TODAY()-$B89)))</f>
        <v/>
      </c>
      <c r="Q89" s="5" t="str">
        <f aca="false">IF($D89="","",IF($K89="Completed","",MAX($Q$1:$Q88)+1))</f>
        <v/>
      </c>
      <c r="R89" s="7"/>
    </row>
    <row r="90" customFormat="false" ht="15" hidden="false" customHeight="false" outlineLevel="0" collapsed="false">
      <c r="A90" s="5" t="str">
        <f aca="false">IF($D90="","",ROW()-1)</f>
        <v/>
      </c>
      <c r="B90" s="6"/>
      <c r="C90" s="7"/>
      <c r="D90" s="7"/>
      <c r="E90" s="7"/>
      <c r="F90" s="7"/>
      <c r="G90" s="8"/>
      <c r="H90" s="6"/>
      <c r="I90" s="9"/>
      <c r="J90" s="10"/>
      <c r="K90" s="8"/>
      <c r="L90" s="6"/>
      <c r="M90" s="11" t="str">
        <f aca="true">IF($D90="","",IF($K90="Completed",IF($L90="",$H90,$L90),IF($H90="","",IF($H90&lt;TODAY(),TODAY(),$H90))))</f>
        <v/>
      </c>
      <c r="N90" s="12" t="str">
        <f aca="true">IF($D90="","",IF($K90="Completed","Completed",IF($H90="","No Due Date",IF($H90&lt;TODAY(),"Carried Forward",IF($H90=TODAY(),"Due Today","Upcoming")))))</f>
        <v/>
      </c>
      <c r="O90" s="5" t="str">
        <f aca="true">IF($D90="","",IF($I90="","",IF($K90="Completed","",$I90-TODAY())))</f>
        <v/>
      </c>
      <c r="P90" s="5" t="str">
        <f aca="true">IF($D90="","",IF($B90="","",IF($K90="Completed",IF($L90="","",$L90-$B90),TODAY()-$B90)))</f>
        <v/>
      </c>
      <c r="Q90" s="5" t="str">
        <f aca="false">IF($D90="","",IF($K90="Completed","",MAX($Q$1:$Q89)+1))</f>
        <v/>
      </c>
      <c r="R90" s="7"/>
    </row>
    <row r="91" customFormat="false" ht="15" hidden="false" customHeight="false" outlineLevel="0" collapsed="false">
      <c r="A91" s="5" t="str">
        <f aca="false">IF($D91="","",ROW()-1)</f>
        <v/>
      </c>
      <c r="B91" s="6"/>
      <c r="C91" s="7"/>
      <c r="D91" s="7"/>
      <c r="E91" s="7"/>
      <c r="F91" s="7"/>
      <c r="G91" s="8"/>
      <c r="H91" s="6"/>
      <c r="I91" s="9"/>
      <c r="J91" s="10"/>
      <c r="K91" s="8"/>
      <c r="L91" s="6"/>
      <c r="M91" s="11" t="str">
        <f aca="true">IF($D91="","",IF($K91="Completed",IF($L91="",$H91,$L91),IF($H91="","",IF($H91&lt;TODAY(),TODAY(),$H91))))</f>
        <v/>
      </c>
      <c r="N91" s="12" t="str">
        <f aca="true">IF($D91="","",IF($K91="Completed","Completed",IF($H91="","No Due Date",IF($H91&lt;TODAY(),"Carried Forward",IF($H91=TODAY(),"Due Today","Upcoming")))))</f>
        <v/>
      </c>
      <c r="O91" s="5" t="str">
        <f aca="true">IF($D91="","",IF($I91="","",IF($K91="Completed","",$I91-TODAY())))</f>
        <v/>
      </c>
      <c r="P91" s="5" t="str">
        <f aca="true">IF($D91="","",IF($B91="","",IF($K91="Completed",IF($L91="","",$L91-$B91),TODAY()-$B91)))</f>
        <v/>
      </c>
      <c r="Q91" s="5" t="str">
        <f aca="false">IF($D91="","",IF($K91="Completed","",MAX($Q$1:$Q90)+1))</f>
        <v/>
      </c>
      <c r="R91" s="7"/>
    </row>
    <row r="92" customFormat="false" ht="15" hidden="false" customHeight="false" outlineLevel="0" collapsed="false">
      <c r="A92" s="5" t="str">
        <f aca="false">IF($D92="","",ROW()-1)</f>
        <v/>
      </c>
      <c r="B92" s="6"/>
      <c r="C92" s="7"/>
      <c r="D92" s="7"/>
      <c r="E92" s="7"/>
      <c r="F92" s="7"/>
      <c r="G92" s="8"/>
      <c r="H92" s="6"/>
      <c r="I92" s="9"/>
      <c r="J92" s="10"/>
      <c r="K92" s="8"/>
      <c r="L92" s="6"/>
      <c r="M92" s="11" t="str">
        <f aca="true">IF($D92="","",IF($K92="Completed",IF($L92="",$H92,$L92),IF($H92="","",IF($H92&lt;TODAY(),TODAY(),$H92))))</f>
        <v/>
      </c>
      <c r="N92" s="12" t="str">
        <f aca="true">IF($D92="","",IF($K92="Completed","Completed",IF($H92="","No Due Date",IF($H92&lt;TODAY(),"Carried Forward",IF($H92=TODAY(),"Due Today","Upcoming")))))</f>
        <v/>
      </c>
      <c r="O92" s="5" t="str">
        <f aca="true">IF($D92="","",IF($I92="","",IF($K92="Completed","",$I92-TODAY())))</f>
        <v/>
      </c>
      <c r="P92" s="5" t="str">
        <f aca="true">IF($D92="","",IF($B92="","",IF($K92="Completed",IF($L92="","",$L92-$B92),TODAY()-$B92)))</f>
        <v/>
      </c>
      <c r="Q92" s="5" t="str">
        <f aca="false">IF($D92="","",IF($K92="Completed","",MAX($Q$1:$Q91)+1))</f>
        <v/>
      </c>
      <c r="R92" s="7"/>
    </row>
    <row r="93" customFormat="false" ht="15" hidden="false" customHeight="false" outlineLevel="0" collapsed="false">
      <c r="A93" s="5" t="str">
        <f aca="false">IF($D93="","",ROW()-1)</f>
        <v/>
      </c>
      <c r="B93" s="6"/>
      <c r="C93" s="7"/>
      <c r="D93" s="7"/>
      <c r="E93" s="7"/>
      <c r="F93" s="7"/>
      <c r="G93" s="8"/>
      <c r="H93" s="6"/>
      <c r="I93" s="9"/>
      <c r="J93" s="10"/>
      <c r="K93" s="8"/>
      <c r="L93" s="6"/>
      <c r="M93" s="11" t="str">
        <f aca="true">IF($D93="","",IF($K93="Completed",IF($L93="",$H93,$L93),IF($H93="","",IF($H93&lt;TODAY(),TODAY(),$H93))))</f>
        <v/>
      </c>
      <c r="N93" s="12" t="str">
        <f aca="true">IF($D93="","",IF($K93="Completed","Completed",IF($H93="","No Due Date",IF($H93&lt;TODAY(),"Carried Forward",IF($H93=TODAY(),"Due Today","Upcoming")))))</f>
        <v/>
      </c>
      <c r="O93" s="5" t="str">
        <f aca="true">IF($D93="","",IF($I93="","",IF($K93="Completed","",$I93-TODAY())))</f>
        <v/>
      </c>
      <c r="P93" s="5" t="str">
        <f aca="true">IF($D93="","",IF($B93="","",IF($K93="Completed",IF($L93="","",$L93-$B93),TODAY()-$B93)))</f>
        <v/>
      </c>
      <c r="Q93" s="5" t="str">
        <f aca="false">IF($D93="","",IF($K93="Completed","",MAX($Q$1:$Q92)+1))</f>
        <v/>
      </c>
      <c r="R93" s="7"/>
    </row>
    <row r="94" customFormat="false" ht="15" hidden="false" customHeight="false" outlineLevel="0" collapsed="false">
      <c r="A94" s="5" t="str">
        <f aca="false">IF($D94="","",ROW()-1)</f>
        <v/>
      </c>
      <c r="B94" s="6"/>
      <c r="C94" s="7"/>
      <c r="D94" s="7"/>
      <c r="E94" s="7"/>
      <c r="F94" s="7"/>
      <c r="G94" s="8"/>
      <c r="H94" s="6"/>
      <c r="I94" s="9"/>
      <c r="J94" s="10"/>
      <c r="K94" s="8"/>
      <c r="L94" s="6"/>
      <c r="M94" s="11" t="str">
        <f aca="true">IF($D94="","",IF($K94="Completed",IF($L94="",$H94,$L94),IF($H94="","",IF($H94&lt;TODAY(),TODAY(),$H94))))</f>
        <v/>
      </c>
      <c r="N94" s="12" t="str">
        <f aca="true">IF($D94="","",IF($K94="Completed","Completed",IF($H94="","No Due Date",IF($H94&lt;TODAY(),"Carried Forward",IF($H94=TODAY(),"Due Today","Upcoming")))))</f>
        <v/>
      </c>
      <c r="O94" s="5" t="str">
        <f aca="true">IF($D94="","",IF($I94="","",IF($K94="Completed","",$I94-TODAY())))</f>
        <v/>
      </c>
      <c r="P94" s="5" t="str">
        <f aca="true">IF($D94="","",IF($B94="","",IF($K94="Completed",IF($L94="","",$L94-$B94),TODAY()-$B94)))</f>
        <v/>
      </c>
      <c r="Q94" s="5" t="str">
        <f aca="false">IF($D94="","",IF($K94="Completed","",MAX($Q$1:$Q93)+1))</f>
        <v/>
      </c>
      <c r="R94" s="7"/>
    </row>
    <row r="95" customFormat="false" ht="15" hidden="false" customHeight="false" outlineLevel="0" collapsed="false">
      <c r="A95" s="5" t="str">
        <f aca="false">IF($D95="","",ROW()-1)</f>
        <v/>
      </c>
      <c r="B95" s="6"/>
      <c r="C95" s="7"/>
      <c r="D95" s="7"/>
      <c r="E95" s="7"/>
      <c r="F95" s="7"/>
      <c r="G95" s="8"/>
      <c r="H95" s="6"/>
      <c r="I95" s="9"/>
      <c r="J95" s="10"/>
      <c r="K95" s="8"/>
      <c r="L95" s="6"/>
      <c r="M95" s="11" t="str">
        <f aca="true">IF($D95="","",IF($K95="Completed",IF($L95="",$H95,$L95),IF($H95="","",IF($H95&lt;TODAY(),TODAY(),$H95))))</f>
        <v/>
      </c>
      <c r="N95" s="12" t="str">
        <f aca="true">IF($D95="","",IF($K95="Completed","Completed",IF($H95="","No Due Date",IF($H95&lt;TODAY(),"Carried Forward",IF($H95=TODAY(),"Due Today","Upcoming")))))</f>
        <v/>
      </c>
      <c r="O95" s="5" t="str">
        <f aca="true">IF($D95="","",IF($I95="","",IF($K95="Completed","",$I95-TODAY())))</f>
        <v/>
      </c>
      <c r="P95" s="5" t="str">
        <f aca="true">IF($D95="","",IF($B95="","",IF($K95="Completed",IF($L95="","",$L95-$B95),TODAY()-$B95)))</f>
        <v/>
      </c>
      <c r="Q95" s="5" t="str">
        <f aca="false">IF($D95="","",IF($K95="Completed","",MAX($Q$1:$Q94)+1))</f>
        <v/>
      </c>
      <c r="R95" s="7"/>
    </row>
    <row r="96" customFormat="false" ht="15" hidden="false" customHeight="false" outlineLevel="0" collapsed="false">
      <c r="A96" s="5" t="str">
        <f aca="false">IF($D96="","",ROW()-1)</f>
        <v/>
      </c>
      <c r="B96" s="6"/>
      <c r="C96" s="7"/>
      <c r="D96" s="7"/>
      <c r="E96" s="7"/>
      <c r="F96" s="7"/>
      <c r="G96" s="8"/>
      <c r="H96" s="6"/>
      <c r="I96" s="9"/>
      <c r="J96" s="10"/>
      <c r="K96" s="8"/>
      <c r="L96" s="6"/>
      <c r="M96" s="11" t="str">
        <f aca="true">IF($D96="","",IF($K96="Completed",IF($L96="",$H96,$L96),IF($H96="","",IF($H96&lt;TODAY(),TODAY(),$H96))))</f>
        <v/>
      </c>
      <c r="N96" s="12" t="str">
        <f aca="true">IF($D96="","",IF($K96="Completed","Completed",IF($H96="","No Due Date",IF($H96&lt;TODAY(),"Carried Forward",IF($H96=TODAY(),"Due Today","Upcoming")))))</f>
        <v/>
      </c>
      <c r="O96" s="5" t="str">
        <f aca="true">IF($D96="","",IF($I96="","",IF($K96="Completed","",$I96-TODAY())))</f>
        <v/>
      </c>
      <c r="P96" s="5" t="str">
        <f aca="true">IF($D96="","",IF($B96="","",IF($K96="Completed",IF($L96="","",$L96-$B96),TODAY()-$B96)))</f>
        <v/>
      </c>
      <c r="Q96" s="5" t="str">
        <f aca="false">IF($D96="","",IF($K96="Completed","",MAX($Q$1:$Q95)+1))</f>
        <v/>
      </c>
      <c r="R96" s="7"/>
    </row>
    <row r="97" customFormat="false" ht="15" hidden="false" customHeight="false" outlineLevel="0" collapsed="false">
      <c r="A97" s="5" t="str">
        <f aca="false">IF($D97="","",ROW()-1)</f>
        <v/>
      </c>
      <c r="B97" s="6"/>
      <c r="C97" s="7"/>
      <c r="D97" s="7"/>
      <c r="E97" s="7"/>
      <c r="F97" s="7"/>
      <c r="G97" s="8"/>
      <c r="H97" s="6"/>
      <c r="I97" s="9"/>
      <c r="J97" s="10"/>
      <c r="K97" s="8"/>
      <c r="L97" s="6"/>
      <c r="M97" s="11" t="str">
        <f aca="true">IF($D97="","",IF($K97="Completed",IF($L97="",$H97,$L97),IF($H97="","",IF($H97&lt;TODAY(),TODAY(),$H97))))</f>
        <v/>
      </c>
      <c r="N97" s="12" t="str">
        <f aca="true">IF($D97="","",IF($K97="Completed","Completed",IF($H97="","No Due Date",IF($H97&lt;TODAY(),"Carried Forward",IF($H97=TODAY(),"Due Today","Upcoming")))))</f>
        <v/>
      </c>
      <c r="O97" s="5" t="str">
        <f aca="true">IF($D97="","",IF($I97="","",IF($K97="Completed","",$I97-TODAY())))</f>
        <v/>
      </c>
      <c r="P97" s="5" t="str">
        <f aca="true">IF($D97="","",IF($B97="","",IF($K97="Completed",IF($L97="","",$L97-$B97),TODAY()-$B97)))</f>
        <v/>
      </c>
      <c r="Q97" s="5" t="str">
        <f aca="false">IF($D97="","",IF($K97="Completed","",MAX($Q$1:$Q96)+1))</f>
        <v/>
      </c>
      <c r="R97" s="7"/>
    </row>
    <row r="98" customFormat="false" ht="15" hidden="false" customHeight="false" outlineLevel="0" collapsed="false">
      <c r="A98" s="5" t="str">
        <f aca="false">IF($D98="","",ROW()-1)</f>
        <v/>
      </c>
      <c r="B98" s="6"/>
      <c r="C98" s="7"/>
      <c r="D98" s="7"/>
      <c r="E98" s="7"/>
      <c r="F98" s="7"/>
      <c r="G98" s="8"/>
      <c r="H98" s="6"/>
      <c r="I98" s="9"/>
      <c r="J98" s="10"/>
      <c r="K98" s="8"/>
      <c r="L98" s="6"/>
      <c r="M98" s="11" t="str">
        <f aca="true">IF($D98="","",IF($K98="Completed",IF($L98="",$H98,$L98),IF($H98="","",IF($H98&lt;TODAY(),TODAY(),$H98))))</f>
        <v/>
      </c>
      <c r="N98" s="12" t="str">
        <f aca="true">IF($D98="","",IF($K98="Completed","Completed",IF($H98="","No Due Date",IF($H98&lt;TODAY(),"Carried Forward",IF($H98=TODAY(),"Due Today","Upcoming")))))</f>
        <v/>
      </c>
      <c r="O98" s="5" t="str">
        <f aca="true">IF($D98="","",IF($I98="","",IF($K98="Completed","",$I98-TODAY())))</f>
        <v/>
      </c>
      <c r="P98" s="5" t="str">
        <f aca="true">IF($D98="","",IF($B98="","",IF($K98="Completed",IF($L98="","",$L98-$B98),TODAY()-$B98)))</f>
        <v/>
      </c>
      <c r="Q98" s="5" t="str">
        <f aca="false">IF($D98="","",IF($K98="Completed","",MAX($Q$1:$Q97)+1))</f>
        <v/>
      </c>
      <c r="R98" s="7"/>
    </row>
    <row r="99" customFormat="false" ht="15" hidden="false" customHeight="false" outlineLevel="0" collapsed="false">
      <c r="A99" s="5" t="str">
        <f aca="false">IF($D99="","",ROW()-1)</f>
        <v/>
      </c>
      <c r="B99" s="6"/>
      <c r="C99" s="7"/>
      <c r="D99" s="7"/>
      <c r="E99" s="7"/>
      <c r="F99" s="7"/>
      <c r="G99" s="8"/>
      <c r="H99" s="6"/>
      <c r="I99" s="9"/>
      <c r="J99" s="10"/>
      <c r="K99" s="8"/>
      <c r="L99" s="6"/>
      <c r="M99" s="11" t="str">
        <f aca="true">IF($D99="","",IF($K99="Completed",IF($L99="",$H99,$L99),IF($H99="","",IF($H99&lt;TODAY(),TODAY(),$H99))))</f>
        <v/>
      </c>
      <c r="N99" s="12" t="str">
        <f aca="true">IF($D99="","",IF($K99="Completed","Completed",IF($H99="","No Due Date",IF($H99&lt;TODAY(),"Carried Forward",IF($H99=TODAY(),"Due Today","Upcoming")))))</f>
        <v/>
      </c>
      <c r="O99" s="5" t="str">
        <f aca="true">IF($D99="","",IF($I99="","",IF($K99="Completed","",$I99-TODAY())))</f>
        <v/>
      </c>
      <c r="P99" s="5" t="str">
        <f aca="true">IF($D99="","",IF($B99="","",IF($K99="Completed",IF($L99="","",$L99-$B99),TODAY()-$B99)))</f>
        <v/>
      </c>
      <c r="Q99" s="5" t="str">
        <f aca="false">IF($D99="","",IF($K99="Completed","",MAX($Q$1:$Q98)+1))</f>
        <v/>
      </c>
      <c r="R99" s="7"/>
    </row>
    <row r="100" customFormat="false" ht="15" hidden="false" customHeight="false" outlineLevel="0" collapsed="false">
      <c r="A100" s="5" t="str">
        <f aca="false">IF($D100="","",ROW()-1)</f>
        <v/>
      </c>
      <c r="B100" s="6"/>
      <c r="C100" s="7"/>
      <c r="D100" s="7"/>
      <c r="E100" s="7"/>
      <c r="F100" s="7"/>
      <c r="G100" s="8"/>
      <c r="H100" s="6"/>
      <c r="I100" s="9"/>
      <c r="J100" s="10"/>
      <c r="K100" s="8"/>
      <c r="L100" s="6"/>
      <c r="M100" s="11" t="str">
        <f aca="true">IF($D100="","",IF($K100="Completed",IF($L100="",$H100,$L100),IF($H100="","",IF($H100&lt;TODAY(),TODAY(),$H100))))</f>
        <v/>
      </c>
      <c r="N100" s="12" t="str">
        <f aca="true">IF($D100="","",IF($K100="Completed","Completed",IF($H100="","No Due Date",IF($H100&lt;TODAY(),"Carried Forward",IF($H100=TODAY(),"Due Today","Upcoming")))))</f>
        <v/>
      </c>
      <c r="O100" s="5" t="str">
        <f aca="true">IF($D100="","",IF($I100="","",IF($K100="Completed","",$I100-TODAY())))</f>
        <v/>
      </c>
      <c r="P100" s="5" t="str">
        <f aca="true">IF($D100="","",IF($B100="","",IF($K100="Completed",IF($L100="","",$L100-$B100),TODAY()-$B100)))</f>
        <v/>
      </c>
      <c r="Q100" s="5" t="str">
        <f aca="false">IF($D100="","",IF($K100="Completed","",MAX($Q$1:$Q99)+1))</f>
        <v/>
      </c>
      <c r="R100" s="7"/>
    </row>
    <row r="101" customFormat="false" ht="15" hidden="false" customHeight="false" outlineLevel="0" collapsed="false">
      <c r="A101" s="5" t="str">
        <f aca="false">IF($D101="","",ROW()-1)</f>
        <v/>
      </c>
      <c r="B101" s="6"/>
      <c r="C101" s="7"/>
      <c r="D101" s="7"/>
      <c r="E101" s="7"/>
      <c r="F101" s="7"/>
      <c r="G101" s="8"/>
      <c r="H101" s="6"/>
      <c r="I101" s="9"/>
      <c r="J101" s="10"/>
      <c r="K101" s="8"/>
      <c r="L101" s="6"/>
      <c r="M101" s="11" t="str">
        <f aca="true">IF($D101="","",IF($K101="Completed",IF($L101="",$H101,$L101),IF($H101="","",IF($H101&lt;TODAY(),TODAY(),$H101))))</f>
        <v/>
      </c>
      <c r="N101" s="12" t="str">
        <f aca="true">IF($D101="","",IF($K101="Completed","Completed",IF($H101="","No Due Date",IF($H101&lt;TODAY(),"Carried Forward",IF($H101=TODAY(),"Due Today","Upcoming")))))</f>
        <v/>
      </c>
      <c r="O101" s="5" t="str">
        <f aca="true">IF($D101="","",IF($I101="","",IF($K101="Completed","",$I101-TODAY())))</f>
        <v/>
      </c>
      <c r="P101" s="5" t="str">
        <f aca="true">IF($D101="","",IF($B101="","",IF($K101="Completed",IF($L101="","",$L101-$B101),TODAY()-$B101)))</f>
        <v/>
      </c>
      <c r="Q101" s="5" t="str">
        <f aca="false">IF($D101="","",IF($K101="Completed","",MAX($Q$1:$Q100)+1))</f>
        <v/>
      </c>
      <c r="R101" s="7"/>
    </row>
    <row r="102" customFormat="false" ht="15" hidden="false" customHeight="false" outlineLevel="0" collapsed="false">
      <c r="A102" s="5" t="str">
        <f aca="false">IF($D102="","",ROW()-1)</f>
        <v/>
      </c>
      <c r="B102" s="6"/>
      <c r="C102" s="7"/>
      <c r="D102" s="7"/>
      <c r="E102" s="7"/>
      <c r="F102" s="7"/>
      <c r="G102" s="8"/>
      <c r="H102" s="6"/>
      <c r="I102" s="9"/>
      <c r="J102" s="10"/>
      <c r="K102" s="8"/>
      <c r="L102" s="6"/>
      <c r="M102" s="11" t="str">
        <f aca="true">IF($D102="","",IF($K102="Completed",IF($L102="",$H102,$L102),IF($H102="","",IF($H102&lt;TODAY(),TODAY(),$H102))))</f>
        <v/>
      </c>
      <c r="N102" s="12" t="str">
        <f aca="true">IF($D102="","",IF($K102="Completed","Completed",IF($H102="","No Due Date",IF($H102&lt;TODAY(),"Carried Forward",IF($H102=TODAY(),"Due Today","Upcoming")))))</f>
        <v/>
      </c>
      <c r="O102" s="5" t="str">
        <f aca="true">IF($D102="","",IF($I102="","",IF($K102="Completed","",$I102-TODAY())))</f>
        <v/>
      </c>
      <c r="P102" s="5" t="str">
        <f aca="true">IF($D102="","",IF($B102="","",IF($K102="Completed",IF($L102="","",$L102-$B102),TODAY()-$B102)))</f>
        <v/>
      </c>
      <c r="Q102" s="5" t="str">
        <f aca="false">IF($D102="","",IF($K102="Completed","",MAX($Q$1:$Q101)+1))</f>
        <v/>
      </c>
      <c r="R102" s="7"/>
    </row>
    <row r="103" customFormat="false" ht="15" hidden="false" customHeight="false" outlineLevel="0" collapsed="false">
      <c r="A103" s="5" t="str">
        <f aca="false">IF($D103="","",ROW()-1)</f>
        <v/>
      </c>
      <c r="B103" s="6"/>
      <c r="C103" s="7"/>
      <c r="D103" s="7"/>
      <c r="E103" s="7"/>
      <c r="F103" s="7"/>
      <c r="G103" s="8"/>
      <c r="H103" s="6"/>
      <c r="I103" s="9"/>
      <c r="J103" s="10"/>
      <c r="K103" s="8"/>
      <c r="L103" s="6"/>
      <c r="M103" s="11" t="str">
        <f aca="true">IF($D103="","",IF($K103="Completed",IF($L103="",$H103,$L103),IF($H103="","",IF($H103&lt;TODAY(),TODAY(),$H103))))</f>
        <v/>
      </c>
      <c r="N103" s="12" t="str">
        <f aca="true">IF($D103="","",IF($K103="Completed","Completed",IF($H103="","No Due Date",IF($H103&lt;TODAY(),"Carried Forward",IF($H103=TODAY(),"Due Today","Upcoming")))))</f>
        <v/>
      </c>
      <c r="O103" s="5" t="str">
        <f aca="true">IF($D103="","",IF($I103="","",IF($K103="Completed","",$I103-TODAY())))</f>
        <v/>
      </c>
      <c r="P103" s="5" t="str">
        <f aca="true">IF($D103="","",IF($B103="","",IF($K103="Completed",IF($L103="","",$L103-$B103),TODAY()-$B103)))</f>
        <v/>
      </c>
      <c r="Q103" s="5" t="str">
        <f aca="false">IF($D103="","",IF($K103="Completed","",MAX($Q$1:$Q102)+1))</f>
        <v/>
      </c>
      <c r="R103" s="7"/>
    </row>
    <row r="104" customFormat="false" ht="15" hidden="false" customHeight="false" outlineLevel="0" collapsed="false">
      <c r="A104" s="5" t="str">
        <f aca="false">IF($D104="","",ROW()-1)</f>
        <v/>
      </c>
      <c r="B104" s="6"/>
      <c r="C104" s="7"/>
      <c r="D104" s="7"/>
      <c r="E104" s="7"/>
      <c r="F104" s="7"/>
      <c r="G104" s="8"/>
      <c r="H104" s="6"/>
      <c r="I104" s="9"/>
      <c r="J104" s="10"/>
      <c r="K104" s="8"/>
      <c r="L104" s="6"/>
      <c r="M104" s="11" t="str">
        <f aca="true">IF($D104="","",IF($K104="Completed",IF($L104="",$H104,$L104),IF($H104="","",IF($H104&lt;TODAY(),TODAY(),$H104))))</f>
        <v/>
      </c>
      <c r="N104" s="12" t="str">
        <f aca="true">IF($D104="","",IF($K104="Completed","Completed",IF($H104="","No Due Date",IF($H104&lt;TODAY(),"Carried Forward",IF($H104=TODAY(),"Due Today","Upcoming")))))</f>
        <v/>
      </c>
      <c r="O104" s="5" t="str">
        <f aca="true">IF($D104="","",IF($I104="","",IF($K104="Completed","",$I104-TODAY())))</f>
        <v/>
      </c>
      <c r="P104" s="5" t="str">
        <f aca="true">IF($D104="","",IF($B104="","",IF($K104="Completed",IF($L104="","",$L104-$B104),TODAY()-$B104)))</f>
        <v/>
      </c>
      <c r="Q104" s="5" t="str">
        <f aca="false">IF($D104="","",IF($K104="Completed","",MAX($Q$1:$Q103)+1))</f>
        <v/>
      </c>
      <c r="R104" s="7"/>
    </row>
    <row r="105" customFormat="false" ht="15" hidden="false" customHeight="false" outlineLevel="0" collapsed="false">
      <c r="A105" s="5" t="str">
        <f aca="false">IF($D105="","",ROW()-1)</f>
        <v/>
      </c>
      <c r="B105" s="6"/>
      <c r="C105" s="7"/>
      <c r="D105" s="7"/>
      <c r="E105" s="7"/>
      <c r="F105" s="7"/>
      <c r="G105" s="8"/>
      <c r="H105" s="6"/>
      <c r="I105" s="9"/>
      <c r="J105" s="10"/>
      <c r="K105" s="8"/>
      <c r="L105" s="6"/>
      <c r="M105" s="11" t="str">
        <f aca="true">IF($D105="","",IF($K105="Completed",IF($L105="",$H105,$L105),IF($H105="","",IF($H105&lt;TODAY(),TODAY(),$H105))))</f>
        <v/>
      </c>
      <c r="N105" s="12" t="str">
        <f aca="true">IF($D105="","",IF($K105="Completed","Completed",IF($H105="","No Due Date",IF($H105&lt;TODAY(),"Carried Forward",IF($H105=TODAY(),"Due Today","Upcoming")))))</f>
        <v/>
      </c>
      <c r="O105" s="5" t="str">
        <f aca="true">IF($D105="","",IF($I105="","",IF($K105="Completed","",$I105-TODAY())))</f>
        <v/>
      </c>
      <c r="P105" s="5" t="str">
        <f aca="true">IF($D105="","",IF($B105="","",IF($K105="Completed",IF($L105="","",$L105-$B105),TODAY()-$B105)))</f>
        <v/>
      </c>
      <c r="Q105" s="5" t="str">
        <f aca="false">IF($D105="","",IF($K105="Completed","",MAX($Q$1:$Q104)+1))</f>
        <v/>
      </c>
      <c r="R105" s="7"/>
    </row>
    <row r="106" customFormat="false" ht="15" hidden="false" customHeight="false" outlineLevel="0" collapsed="false">
      <c r="A106" s="5" t="str">
        <f aca="false">IF($D106="","",ROW()-1)</f>
        <v/>
      </c>
      <c r="B106" s="6"/>
      <c r="C106" s="7"/>
      <c r="D106" s="7"/>
      <c r="E106" s="7"/>
      <c r="F106" s="7"/>
      <c r="G106" s="8"/>
      <c r="H106" s="6"/>
      <c r="I106" s="9"/>
      <c r="J106" s="10"/>
      <c r="K106" s="8"/>
      <c r="L106" s="6"/>
      <c r="M106" s="11" t="str">
        <f aca="true">IF($D106="","",IF($K106="Completed",IF($L106="",$H106,$L106),IF($H106="","",IF($H106&lt;TODAY(),TODAY(),$H106))))</f>
        <v/>
      </c>
      <c r="N106" s="12" t="str">
        <f aca="true">IF($D106="","",IF($K106="Completed","Completed",IF($H106="","No Due Date",IF($H106&lt;TODAY(),"Carried Forward",IF($H106=TODAY(),"Due Today","Upcoming")))))</f>
        <v/>
      </c>
      <c r="O106" s="5" t="str">
        <f aca="true">IF($D106="","",IF($I106="","",IF($K106="Completed","",$I106-TODAY())))</f>
        <v/>
      </c>
      <c r="P106" s="5" t="str">
        <f aca="true">IF($D106="","",IF($B106="","",IF($K106="Completed",IF($L106="","",$L106-$B106),TODAY()-$B106)))</f>
        <v/>
      </c>
      <c r="Q106" s="5" t="str">
        <f aca="false">IF($D106="","",IF($K106="Completed","",MAX($Q$1:$Q105)+1))</f>
        <v/>
      </c>
      <c r="R106" s="7"/>
    </row>
    <row r="107" customFormat="false" ht="15" hidden="false" customHeight="false" outlineLevel="0" collapsed="false">
      <c r="A107" s="5" t="str">
        <f aca="false">IF($D107="","",ROW()-1)</f>
        <v/>
      </c>
      <c r="B107" s="6"/>
      <c r="C107" s="7"/>
      <c r="D107" s="7"/>
      <c r="E107" s="7"/>
      <c r="F107" s="7"/>
      <c r="G107" s="8"/>
      <c r="H107" s="6"/>
      <c r="I107" s="9"/>
      <c r="J107" s="10"/>
      <c r="K107" s="8"/>
      <c r="L107" s="6"/>
      <c r="M107" s="11" t="str">
        <f aca="true">IF($D107="","",IF($K107="Completed",IF($L107="",$H107,$L107),IF($H107="","",IF($H107&lt;TODAY(),TODAY(),$H107))))</f>
        <v/>
      </c>
      <c r="N107" s="12" t="str">
        <f aca="true">IF($D107="","",IF($K107="Completed","Completed",IF($H107="","No Due Date",IF($H107&lt;TODAY(),"Carried Forward",IF($H107=TODAY(),"Due Today","Upcoming")))))</f>
        <v/>
      </c>
      <c r="O107" s="5" t="str">
        <f aca="true">IF($D107="","",IF($I107="","",IF($K107="Completed","",$I107-TODAY())))</f>
        <v/>
      </c>
      <c r="P107" s="5" t="str">
        <f aca="true">IF($D107="","",IF($B107="","",IF($K107="Completed",IF($L107="","",$L107-$B107),TODAY()-$B107)))</f>
        <v/>
      </c>
      <c r="Q107" s="5" t="str">
        <f aca="false">IF($D107="","",IF($K107="Completed","",MAX($Q$1:$Q106)+1))</f>
        <v/>
      </c>
      <c r="R107" s="7"/>
    </row>
    <row r="108" customFormat="false" ht="15" hidden="false" customHeight="false" outlineLevel="0" collapsed="false">
      <c r="A108" s="5" t="str">
        <f aca="false">IF($D108="","",ROW()-1)</f>
        <v/>
      </c>
      <c r="B108" s="6"/>
      <c r="C108" s="7"/>
      <c r="D108" s="7"/>
      <c r="E108" s="7"/>
      <c r="F108" s="7"/>
      <c r="G108" s="8"/>
      <c r="H108" s="6"/>
      <c r="I108" s="9"/>
      <c r="J108" s="10"/>
      <c r="K108" s="8"/>
      <c r="L108" s="6"/>
      <c r="M108" s="11" t="str">
        <f aca="true">IF($D108="","",IF($K108="Completed",IF($L108="",$H108,$L108),IF($H108="","",IF($H108&lt;TODAY(),TODAY(),$H108))))</f>
        <v/>
      </c>
      <c r="N108" s="12" t="str">
        <f aca="true">IF($D108="","",IF($K108="Completed","Completed",IF($H108="","No Due Date",IF($H108&lt;TODAY(),"Carried Forward",IF($H108=TODAY(),"Due Today","Upcoming")))))</f>
        <v/>
      </c>
      <c r="O108" s="5" t="str">
        <f aca="true">IF($D108="","",IF($I108="","",IF($K108="Completed","",$I108-TODAY())))</f>
        <v/>
      </c>
      <c r="P108" s="5" t="str">
        <f aca="true">IF($D108="","",IF($B108="","",IF($K108="Completed",IF($L108="","",$L108-$B108),TODAY()-$B108)))</f>
        <v/>
      </c>
      <c r="Q108" s="5" t="str">
        <f aca="false">IF($D108="","",IF($K108="Completed","",MAX($Q$1:$Q107)+1))</f>
        <v/>
      </c>
      <c r="R108" s="7"/>
    </row>
    <row r="109" customFormat="false" ht="15" hidden="false" customHeight="false" outlineLevel="0" collapsed="false">
      <c r="A109" s="5" t="str">
        <f aca="false">IF($D109="","",ROW()-1)</f>
        <v/>
      </c>
      <c r="B109" s="6"/>
      <c r="C109" s="7"/>
      <c r="D109" s="7"/>
      <c r="E109" s="7"/>
      <c r="F109" s="7"/>
      <c r="G109" s="8"/>
      <c r="H109" s="6"/>
      <c r="I109" s="9"/>
      <c r="J109" s="10"/>
      <c r="K109" s="8"/>
      <c r="L109" s="6"/>
      <c r="M109" s="11" t="str">
        <f aca="true">IF($D109="","",IF($K109="Completed",IF($L109="",$H109,$L109),IF($H109="","",IF($H109&lt;TODAY(),TODAY(),$H109))))</f>
        <v/>
      </c>
      <c r="N109" s="12" t="str">
        <f aca="true">IF($D109="","",IF($K109="Completed","Completed",IF($H109="","No Due Date",IF($H109&lt;TODAY(),"Carried Forward",IF($H109=TODAY(),"Due Today","Upcoming")))))</f>
        <v/>
      </c>
      <c r="O109" s="5" t="str">
        <f aca="true">IF($D109="","",IF($I109="","",IF($K109="Completed","",$I109-TODAY())))</f>
        <v/>
      </c>
      <c r="P109" s="5" t="str">
        <f aca="true">IF($D109="","",IF($B109="","",IF($K109="Completed",IF($L109="","",$L109-$B109),TODAY()-$B109)))</f>
        <v/>
      </c>
      <c r="Q109" s="5" t="str">
        <f aca="false">IF($D109="","",IF($K109="Completed","",MAX($Q$1:$Q108)+1))</f>
        <v/>
      </c>
      <c r="R109" s="7"/>
    </row>
    <row r="110" customFormat="false" ht="15" hidden="false" customHeight="false" outlineLevel="0" collapsed="false">
      <c r="A110" s="5" t="str">
        <f aca="false">IF($D110="","",ROW()-1)</f>
        <v/>
      </c>
      <c r="B110" s="6"/>
      <c r="C110" s="7"/>
      <c r="D110" s="7"/>
      <c r="E110" s="7"/>
      <c r="F110" s="7"/>
      <c r="G110" s="8"/>
      <c r="H110" s="6"/>
      <c r="I110" s="9"/>
      <c r="J110" s="10"/>
      <c r="K110" s="8"/>
      <c r="L110" s="6"/>
      <c r="M110" s="11" t="str">
        <f aca="true">IF($D110="","",IF($K110="Completed",IF($L110="",$H110,$L110),IF($H110="","",IF($H110&lt;TODAY(),TODAY(),$H110))))</f>
        <v/>
      </c>
      <c r="N110" s="12" t="str">
        <f aca="true">IF($D110="","",IF($K110="Completed","Completed",IF($H110="","No Due Date",IF($H110&lt;TODAY(),"Carried Forward",IF($H110=TODAY(),"Due Today","Upcoming")))))</f>
        <v/>
      </c>
      <c r="O110" s="5" t="str">
        <f aca="true">IF($D110="","",IF($I110="","",IF($K110="Completed","",$I110-TODAY())))</f>
        <v/>
      </c>
      <c r="P110" s="5" t="str">
        <f aca="true">IF($D110="","",IF($B110="","",IF($K110="Completed",IF($L110="","",$L110-$B110),TODAY()-$B110)))</f>
        <v/>
      </c>
      <c r="Q110" s="5" t="str">
        <f aca="false">IF($D110="","",IF($K110="Completed","",MAX($Q$1:$Q109)+1))</f>
        <v/>
      </c>
      <c r="R110" s="7"/>
    </row>
    <row r="111" customFormat="false" ht="15" hidden="false" customHeight="false" outlineLevel="0" collapsed="false">
      <c r="A111" s="5" t="str">
        <f aca="false">IF($D111="","",ROW()-1)</f>
        <v/>
      </c>
      <c r="B111" s="6"/>
      <c r="C111" s="7"/>
      <c r="D111" s="7"/>
      <c r="E111" s="7"/>
      <c r="F111" s="7"/>
      <c r="G111" s="8"/>
      <c r="H111" s="6"/>
      <c r="I111" s="9"/>
      <c r="J111" s="10"/>
      <c r="K111" s="8"/>
      <c r="L111" s="6"/>
      <c r="M111" s="11" t="str">
        <f aca="true">IF($D111="","",IF($K111="Completed",IF($L111="",$H111,$L111),IF($H111="","",IF($H111&lt;TODAY(),TODAY(),$H111))))</f>
        <v/>
      </c>
      <c r="N111" s="12" t="str">
        <f aca="true">IF($D111="","",IF($K111="Completed","Completed",IF($H111="","No Due Date",IF($H111&lt;TODAY(),"Carried Forward",IF($H111=TODAY(),"Due Today","Upcoming")))))</f>
        <v/>
      </c>
      <c r="O111" s="5" t="str">
        <f aca="true">IF($D111="","",IF($I111="","",IF($K111="Completed","",$I111-TODAY())))</f>
        <v/>
      </c>
      <c r="P111" s="5" t="str">
        <f aca="true">IF($D111="","",IF($B111="","",IF($K111="Completed",IF($L111="","",$L111-$B111),TODAY()-$B111)))</f>
        <v/>
      </c>
      <c r="Q111" s="5" t="str">
        <f aca="false">IF($D111="","",IF($K111="Completed","",MAX($Q$1:$Q110)+1))</f>
        <v/>
      </c>
      <c r="R111" s="7"/>
    </row>
    <row r="112" customFormat="false" ht="15" hidden="false" customHeight="false" outlineLevel="0" collapsed="false">
      <c r="A112" s="5" t="str">
        <f aca="false">IF($D112="","",ROW()-1)</f>
        <v/>
      </c>
      <c r="B112" s="6"/>
      <c r="C112" s="7"/>
      <c r="D112" s="7"/>
      <c r="E112" s="7"/>
      <c r="F112" s="7"/>
      <c r="G112" s="8"/>
      <c r="H112" s="6"/>
      <c r="I112" s="9"/>
      <c r="J112" s="10"/>
      <c r="K112" s="8"/>
      <c r="L112" s="6"/>
      <c r="M112" s="11" t="str">
        <f aca="true">IF($D112="","",IF($K112="Completed",IF($L112="",$H112,$L112),IF($H112="","",IF($H112&lt;TODAY(),TODAY(),$H112))))</f>
        <v/>
      </c>
      <c r="N112" s="12" t="str">
        <f aca="true">IF($D112="","",IF($K112="Completed","Completed",IF($H112="","No Due Date",IF($H112&lt;TODAY(),"Carried Forward",IF($H112=TODAY(),"Due Today","Upcoming")))))</f>
        <v/>
      </c>
      <c r="O112" s="5" t="str">
        <f aca="true">IF($D112="","",IF($I112="","",IF($K112="Completed","",$I112-TODAY())))</f>
        <v/>
      </c>
      <c r="P112" s="5" t="str">
        <f aca="true">IF($D112="","",IF($B112="","",IF($K112="Completed",IF($L112="","",$L112-$B112),TODAY()-$B112)))</f>
        <v/>
      </c>
      <c r="Q112" s="5" t="str">
        <f aca="false">IF($D112="","",IF($K112="Completed","",MAX($Q$1:$Q111)+1))</f>
        <v/>
      </c>
      <c r="R112" s="7"/>
    </row>
    <row r="113" customFormat="false" ht="15" hidden="false" customHeight="false" outlineLevel="0" collapsed="false">
      <c r="A113" s="5" t="str">
        <f aca="false">IF($D113="","",ROW()-1)</f>
        <v/>
      </c>
      <c r="B113" s="6"/>
      <c r="C113" s="7"/>
      <c r="D113" s="7"/>
      <c r="E113" s="7"/>
      <c r="F113" s="7"/>
      <c r="G113" s="8"/>
      <c r="H113" s="6"/>
      <c r="I113" s="9"/>
      <c r="J113" s="10"/>
      <c r="K113" s="8"/>
      <c r="L113" s="6"/>
      <c r="M113" s="11" t="str">
        <f aca="true">IF($D113="","",IF($K113="Completed",IF($L113="",$H113,$L113),IF($H113="","",IF($H113&lt;TODAY(),TODAY(),$H113))))</f>
        <v/>
      </c>
      <c r="N113" s="12" t="str">
        <f aca="true">IF($D113="","",IF($K113="Completed","Completed",IF($H113="","No Due Date",IF($H113&lt;TODAY(),"Carried Forward",IF($H113=TODAY(),"Due Today","Upcoming")))))</f>
        <v/>
      </c>
      <c r="O113" s="5" t="str">
        <f aca="true">IF($D113="","",IF($I113="","",IF($K113="Completed","",$I113-TODAY())))</f>
        <v/>
      </c>
      <c r="P113" s="5" t="str">
        <f aca="true">IF($D113="","",IF($B113="","",IF($K113="Completed",IF($L113="","",$L113-$B113),TODAY()-$B113)))</f>
        <v/>
      </c>
      <c r="Q113" s="5" t="str">
        <f aca="false">IF($D113="","",IF($K113="Completed","",MAX($Q$1:$Q112)+1))</f>
        <v/>
      </c>
      <c r="R113" s="7"/>
    </row>
    <row r="114" customFormat="false" ht="15" hidden="false" customHeight="false" outlineLevel="0" collapsed="false">
      <c r="A114" s="5" t="str">
        <f aca="false">IF($D114="","",ROW()-1)</f>
        <v/>
      </c>
      <c r="B114" s="6"/>
      <c r="C114" s="7"/>
      <c r="D114" s="7"/>
      <c r="E114" s="7"/>
      <c r="F114" s="7"/>
      <c r="G114" s="8"/>
      <c r="H114" s="6"/>
      <c r="I114" s="9"/>
      <c r="J114" s="10"/>
      <c r="K114" s="8"/>
      <c r="L114" s="6"/>
      <c r="M114" s="11" t="str">
        <f aca="true">IF($D114="","",IF($K114="Completed",IF($L114="",$H114,$L114),IF($H114="","",IF($H114&lt;TODAY(),TODAY(),$H114))))</f>
        <v/>
      </c>
      <c r="N114" s="12" t="str">
        <f aca="true">IF($D114="","",IF($K114="Completed","Completed",IF($H114="","No Due Date",IF($H114&lt;TODAY(),"Carried Forward",IF($H114=TODAY(),"Due Today","Upcoming")))))</f>
        <v/>
      </c>
      <c r="O114" s="5" t="str">
        <f aca="true">IF($D114="","",IF($I114="","",IF($K114="Completed","",$I114-TODAY())))</f>
        <v/>
      </c>
      <c r="P114" s="5" t="str">
        <f aca="true">IF($D114="","",IF($B114="","",IF($K114="Completed",IF($L114="","",$L114-$B114),TODAY()-$B114)))</f>
        <v/>
      </c>
      <c r="Q114" s="5" t="str">
        <f aca="false">IF($D114="","",IF($K114="Completed","",MAX($Q$1:$Q113)+1))</f>
        <v/>
      </c>
      <c r="R114" s="7"/>
    </row>
    <row r="115" customFormat="false" ht="15" hidden="false" customHeight="false" outlineLevel="0" collapsed="false">
      <c r="A115" s="5" t="str">
        <f aca="false">IF($D115="","",ROW()-1)</f>
        <v/>
      </c>
      <c r="B115" s="6"/>
      <c r="C115" s="7"/>
      <c r="D115" s="7"/>
      <c r="E115" s="7"/>
      <c r="F115" s="7"/>
      <c r="G115" s="8"/>
      <c r="H115" s="6"/>
      <c r="I115" s="9"/>
      <c r="J115" s="10"/>
      <c r="K115" s="8"/>
      <c r="L115" s="6"/>
      <c r="M115" s="11" t="str">
        <f aca="true">IF($D115="","",IF($K115="Completed",IF($L115="",$H115,$L115),IF($H115="","",IF($H115&lt;TODAY(),TODAY(),$H115))))</f>
        <v/>
      </c>
      <c r="N115" s="12" t="str">
        <f aca="true">IF($D115="","",IF($K115="Completed","Completed",IF($H115="","No Due Date",IF($H115&lt;TODAY(),"Carried Forward",IF($H115=TODAY(),"Due Today","Upcoming")))))</f>
        <v/>
      </c>
      <c r="O115" s="5" t="str">
        <f aca="true">IF($D115="","",IF($I115="","",IF($K115="Completed","",$I115-TODAY())))</f>
        <v/>
      </c>
      <c r="P115" s="5" t="str">
        <f aca="true">IF($D115="","",IF($B115="","",IF($K115="Completed",IF($L115="","",$L115-$B115),TODAY()-$B115)))</f>
        <v/>
      </c>
      <c r="Q115" s="5" t="str">
        <f aca="false">IF($D115="","",IF($K115="Completed","",MAX($Q$1:$Q114)+1))</f>
        <v/>
      </c>
      <c r="R115" s="7"/>
    </row>
    <row r="116" customFormat="false" ht="15" hidden="false" customHeight="false" outlineLevel="0" collapsed="false">
      <c r="A116" s="5" t="str">
        <f aca="false">IF($D116="","",ROW()-1)</f>
        <v/>
      </c>
      <c r="B116" s="6"/>
      <c r="C116" s="7"/>
      <c r="D116" s="7"/>
      <c r="E116" s="7"/>
      <c r="F116" s="7"/>
      <c r="G116" s="8"/>
      <c r="H116" s="6"/>
      <c r="I116" s="9"/>
      <c r="J116" s="10"/>
      <c r="K116" s="8"/>
      <c r="L116" s="6"/>
      <c r="M116" s="11" t="str">
        <f aca="true">IF($D116="","",IF($K116="Completed",IF($L116="",$H116,$L116),IF($H116="","",IF($H116&lt;TODAY(),TODAY(),$H116))))</f>
        <v/>
      </c>
      <c r="N116" s="12" t="str">
        <f aca="true">IF($D116="","",IF($K116="Completed","Completed",IF($H116="","No Due Date",IF($H116&lt;TODAY(),"Carried Forward",IF($H116=TODAY(),"Due Today","Upcoming")))))</f>
        <v/>
      </c>
      <c r="O116" s="5" t="str">
        <f aca="true">IF($D116="","",IF($I116="","",IF($K116="Completed","",$I116-TODAY())))</f>
        <v/>
      </c>
      <c r="P116" s="5" t="str">
        <f aca="true">IF($D116="","",IF($B116="","",IF($K116="Completed",IF($L116="","",$L116-$B116),TODAY()-$B116)))</f>
        <v/>
      </c>
      <c r="Q116" s="5" t="str">
        <f aca="false">IF($D116="","",IF($K116="Completed","",MAX($Q$1:$Q115)+1))</f>
        <v/>
      </c>
      <c r="R116" s="7"/>
    </row>
    <row r="117" customFormat="false" ht="15" hidden="false" customHeight="false" outlineLevel="0" collapsed="false">
      <c r="A117" s="5" t="str">
        <f aca="false">IF($D117="","",ROW()-1)</f>
        <v/>
      </c>
      <c r="B117" s="6"/>
      <c r="C117" s="7"/>
      <c r="D117" s="7"/>
      <c r="E117" s="7"/>
      <c r="F117" s="7"/>
      <c r="G117" s="8"/>
      <c r="H117" s="6"/>
      <c r="I117" s="9"/>
      <c r="J117" s="10"/>
      <c r="K117" s="8"/>
      <c r="L117" s="6"/>
      <c r="M117" s="11" t="str">
        <f aca="true">IF($D117="","",IF($K117="Completed",IF($L117="",$H117,$L117),IF($H117="","",IF($H117&lt;TODAY(),TODAY(),$H117))))</f>
        <v/>
      </c>
      <c r="N117" s="12" t="str">
        <f aca="true">IF($D117="","",IF($K117="Completed","Completed",IF($H117="","No Due Date",IF($H117&lt;TODAY(),"Carried Forward",IF($H117=TODAY(),"Due Today","Upcoming")))))</f>
        <v/>
      </c>
      <c r="O117" s="5" t="str">
        <f aca="true">IF($D117="","",IF($I117="","",IF($K117="Completed","",$I117-TODAY())))</f>
        <v/>
      </c>
      <c r="P117" s="5" t="str">
        <f aca="true">IF($D117="","",IF($B117="","",IF($K117="Completed",IF($L117="","",$L117-$B117),TODAY()-$B117)))</f>
        <v/>
      </c>
      <c r="Q117" s="5" t="str">
        <f aca="false">IF($D117="","",IF($K117="Completed","",MAX($Q$1:$Q116)+1))</f>
        <v/>
      </c>
      <c r="R117" s="7"/>
    </row>
    <row r="118" customFormat="false" ht="15" hidden="false" customHeight="false" outlineLevel="0" collapsed="false">
      <c r="A118" s="5" t="str">
        <f aca="false">IF($D118="","",ROW()-1)</f>
        <v/>
      </c>
      <c r="B118" s="6"/>
      <c r="C118" s="7"/>
      <c r="D118" s="7"/>
      <c r="E118" s="7"/>
      <c r="F118" s="7"/>
      <c r="G118" s="8"/>
      <c r="H118" s="6"/>
      <c r="I118" s="9"/>
      <c r="J118" s="10"/>
      <c r="K118" s="8"/>
      <c r="L118" s="6"/>
      <c r="M118" s="11" t="str">
        <f aca="true">IF($D118="","",IF($K118="Completed",IF($L118="",$H118,$L118),IF($H118="","",IF($H118&lt;TODAY(),TODAY(),$H118))))</f>
        <v/>
      </c>
      <c r="N118" s="12" t="str">
        <f aca="true">IF($D118="","",IF($K118="Completed","Completed",IF($H118="","No Due Date",IF($H118&lt;TODAY(),"Carried Forward",IF($H118=TODAY(),"Due Today","Upcoming")))))</f>
        <v/>
      </c>
      <c r="O118" s="5" t="str">
        <f aca="true">IF($D118="","",IF($I118="","",IF($K118="Completed","",$I118-TODAY())))</f>
        <v/>
      </c>
      <c r="P118" s="5" t="str">
        <f aca="true">IF($D118="","",IF($B118="","",IF($K118="Completed",IF($L118="","",$L118-$B118),TODAY()-$B118)))</f>
        <v/>
      </c>
      <c r="Q118" s="5" t="str">
        <f aca="false">IF($D118="","",IF($K118="Completed","",MAX($Q$1:$Q117)+1))</f>
        <v/>
      </c>
      <c r="R118" s="7"/>
    </row>
    <row r="119" customFormat="false" ht="15" hidden="false" customHeight="false" outlineLevel="0" collapsed="false">
      <c r="A119" s="5" t="str">
        <f aca="false">IF($D119="","",ROW()-1)</f>
        <v/>
      </c>
      <c r="B119" s="6"/>
      <c r="C119" s="7"/>
      <c r="D119" s="7"/>
      <c r="E119" s="7"/>
      <c r="F119" s="7"/>
      <c r="G119" s="8"/>
      <c r="H119" s="6"/>
      <c r="I119" s="9"/>
      <c r="J119" s="10"/>
      <c r="K119" s="8"/>
      <c r="L119" s="6"/>
      <c r="M119" s="11" t="str">
        <f aca="true">IF($D119="","",IF($K119="Completed",IF($L119="",$H119,$L119),IF($H119="","",IF($H119&lt;TODAY(),TODAY(),$H119))))</f>
        <v/>
      </c>
      <c r="N119" s="12" t="str">
        <f aca="true">IF($D119="","",IF($K119="Completed","Completed",IF($H119="","No Due Date",IF($H119&lt;TODAY(),"Carried Forward",IF($H119=TODAY(),"Due Today","Upcoming")))))</f>
        <v/>
      </c>
      <c r="O119" s="5" t="str">
        <f aca="true">IF($D119="","",IF($I119="","",IF($K119="Completed","",$I119-TODAY())))</f>
        <v/>
      </c>
      <c r="P119" s="5" t="str">
        <f aca="true">IF($D119="","",IF($B119="","",IF($K119="Completed",IF($L119="","",$L119-$B119),TODAY()-$B119)))</f>
        <v/>
      </c>
      <c r="Q119" s="5" t="str">
        <f aca="false">IF($D119="","",IF($K119="Completed","",MAX($Q$1:$Q118)+1))</f>
        <v/>
      </c>
      <c r="R119" s="7"/>
    </row>
    <row r="120" customFormat="false" ht="15" hidden="false" customHeight="false" outlineLevel="0" collapsed="false">
      <c r="A120" s="5" t="str">
        <f aca="false">IF($D120="","",ROW()-1)</f>
        <v/>
      </c>
      <c r="B120" s="6"/>
      <c r="C120" s="7"/>
      <c r="D120" s="7"/>
      <c r="E120" s="7"/>
      <c r="F120" s="7"/>
      <c r="G120" s="8"/>
      <c r="H120" s="6"/>
      <c r="I120" s="9"/>
      <c r="J120" s="10"/>
      <c r="K120" s="8"/>
      <c r="L120" s="6"/>
      <c r="M120" s="11" t="str">
        <f aca="true">IF($D120="","",IF($K120="Completed",IF($L120="",$H120,$L120),IF($H120="","",IF($H120&lt;TODAY(),TODAY(),$H120))))</f>
        <v/>
      </c>
      <c r="N120" s="12" t="str">
        <f aca="true">IF($D120="","",IF($K120="Completed","Completed",IF($H120="","No Due Date",IF($H120&lt;TODAY(),"Carried Forward",IF($H120=TODAY(),"Due Today","Upcoming")))))</f>
        <v/>
      </c>
      <c r="O120" s="5" t="str">
        <f aca="true">IF($D120="","",IF($I120="","",IF($K120="Completed","",$I120-TODAY())))</f>
        <v/>
      </c>
      <c r="P120" s="5" t="str">
        <f aca="true">IF($D120="","",IF($B120="","",IF($K120="Completed",IF($L120="","",$L120-$B120),TODAY()-$B120)))</f>
        <v/>
      </c>
      <c r="Q120" s="5" t="str">
        <f aca="false">IF($D120="","",IF($K120="Completed","",MAX($Q$1:$Q119)+1))</f>
        <v/>
      </c>
      <c r="R120" s="7"/>
    </row>
    <row r="121" customFormat="false" ht="15" hidden="false" customHeight="false" outlineLevel="0" collapsed="false">
      <c r="A121" s="5" t="str">
        <f aca="false">IF($D121="","",ROW()-1)</f>
        <v/>
      </c>
      <c r="B121" s="6"/>
      <c r="C121" s="7"/>
      <c r="D121" s="7"/>
      <c r="E121" s="7"/>
      <c r="F121" s="7"/>
      <c r="G121" s="8"/>
      <c r="H121" s="6"/>
      <c r="I121" s="9"/>
      <c r="J121" s="10"/>
      <c r="K121" s="8"/>
      <c r="L121" s="6"/>
      <c r="M121" s="11" t="str">
        <f aca="true">IF($D121="","",IF($K121="Completed",IF($L121="",$H121,$L121),IF($H121="","",IF($H121&lt;TODAY(),TODAY(),$H121))))</f>
        <v/>
      </c>
      <c r="N121" s="12" t="str">
        <f aca="true">IF($D121="","",IF($K121="Completed","Completed",IF($H121="","No Due Date",IF($H121&lt;TODAY(),"Carried Forward",IF($H121=TODAY(),"Due Today","Upcoming")))))</f>
        <v/>
      </c>
      <c r="O121" s="5" t="str">
        <f aca="true">IF($D121="","",IF($I121="","",IF($K121="Completed","",$I121-TODAY())))</f>
        <v/>
      </c>
      <c r="P121" s="5" t="str">
        <f aca="true">IF($D121="","",IF($B121="","",IF($K121="Completed",IF($L121="","",$L121-$B121),TODAY()-$B121)))</f>
        <v/>
      </c>
      <c r="Q121" s="5" t="str">
        <f aca="false">IF($D121="","",IF($K121="Completed","",MAX($Q$1:$Q120)+1))</f>
        <v/>
      </c>
      <c r="R121" s="7"/>
    </row>
    <row r="122" customFormat="false" ht="15" hidden="false" customHeight="false" outlineLevel="0" collapsed="false">
      <c r="A122" s="5" t="str">
        <f aca="false">IF($D122="","",ROW()-1)</f>
        <v/>
      </c>
      <c r="B122" s="6"/>
      <c r="C122" s="7"/>
      <c r="D122" s="7"/>
      <c r="E122" s="7"/>
      <c r="F122" s="7"/>
      <c r="G122" s="8"/>
      <c r="H122" s="6"/>
      <c r="I122" s="9"/>
      <c r="J122" s="10"/>
      <c r="K122" s="8"/>
      <c r="L122" s="6"/>
      <c r="M122" s="11" t="str">
        <f aca="true">IF($D122="","",IF($K122="Completed",IF($L122="",$H122,$L122),IF($H122="","",IF($H122&lt;TODAY(),TODAY(),$H122))))</f>
        <v/>
      </c>
      <c r="N122" s="12" t="str">
        <f aca="true">IF($D122="","",IF($K122="Completed","Completed",IF($H122="","No Due Date",IF($H122&lt;TODAY(),"Carried Forward",IF($H122=TODAY(),"Due Today","Upcoming")))))</f>
        <v/>
      </c>
      <c r="O122" s="5" t="str">
        <f aca="true">IF($D122="","",IF($I122="","",IF($K122="Completed","",$I122-TODAY())))</f>
        <v/>
      </c>
      <c r="P122" s="5" t="str">
        <f aca="true">IF($D122="","",IF($B122="","",IF($K122="Completed",IF($L122="","",$L122-$B122),TODAY()-$B122)))</f>
        <v/>
      </c>
      <c r="Q122" s="5" t="str">
        <f aca="false">IF($D122="","",IF($K122="Completed","",MAX($Q$1:$Q121)+1))</f>
        <v/>
      </c>
      <c r="R122" s="7"/>
    </row>
    <row r="123" customFormat="false" ht="15" hidden="false" customHeight="false" outlineLevel="0" collapsed="false">
      <c r="A123" s="5" t="str">
        <f aca="false">IF($D123="","",ROW()-1)</f>
        <v/>
      </c>
      <c r="B123" s="6"/>
      <c r="C123" s="7"/>
      <c r="D123" s="7"/>
      <c r="E123" s="7"/>
      <c r="F123" s="7"/>
      <c r="G123" s="8"/>
      <c r="H123" s="6"/>
      <c r="I123" s="9"/>
      <c r="J123" s="10"/>
      <c r="K123" s="8"/>
      <c r="L123" s="6"/>
      <c r="M123" s="11" t="str">
        <f aca="true">IF($D123="","",IF($K123="Completed",IF($L123="",$H123,$L123),IF($H123="","",IF($H123&lt;TODAY(),TODAY(),$H123))))</f>
        <v/>
      </c>
      <c r="N123" s="12" t="str">
        <f aca="true">IF($D123="","",IF($K123="Completed","Completed",IF($H123="","No Due Date",IF($H123&lt;TODAY(),"Carried Forward",IF($H123=TODAY(),"Due Today","Upcoming")))))</f>
        <v/>
      </c>
      <c r="O123" s="5" t="str">
        <f aca="true">IF($D123="","",IF($I123="","",IF($K123="Completed","",$I123-TODAY())))</f>
        <v/>
      </c>
      <c r="P123" s="5" t="str">
        <f aca="true">IF($D123="","",IF($B123="","",IF($K123="Completed",IF($L123="","",$L123-$B123),TODAY()-$B123)))</f>
        <v/>
      </c>
      <c r="Q123" s="5" t="str">
        <f aca="false">IF($D123="","",IF($K123="Completed","",MAX($Q$1:$Q122)+1))</f>
        <v/>
      </c>
      <c r="R123" s="7"/>
    </row>
    <row r="124" customFormat="false" ht="15" hidden="false" customHeight="false" outlineLevel="0" collapsed="false">
      <c r="A124" s="5" t="str">
        <f aca="false">IF($D124="","",ROW()-1)</f>
        <v/>
      </c>
      <c r="B124" s="6"/>
      <c r="C124" s="7"/>
      <c r="D124" s="7"/>
      <c r="E124" s="7"/>
      <c r="F124" s="7"/>
      <c r="G124" s="8"/>
      <c r="H124" s="6"/>
      <c r="I124" s="9"/>
      <c r="J124" s="10"/>
      <c r="K124" s="8"/>
      <c r="L124" s="6"/>
      <c r="M124" s="11" t="str">
        <f aca="true">IF($D124="","",IF($K124="Completed",IF($L124="",$H124,$L124),IF($H124="","",IF($H124&lt;TODAY(),TODAY(),$H124))))</f>
        <v/>
      </c>
      <c r="N124" s="12" t="str">
        <f aca="true">IF($D124="","",IF($K124="Completed","Completed",IF($H124="","No Due Date",IF($H124&lt;TODAY(),"Carried Forward",IF($H124=TODAY(),"Due Today","Upcoming")))))</f>
        <v/>
      </c>
      <c r="O124" s="5" t="str">
        <f aca="true">IF($D124="","",IF($I124="","",IF($K124="Completed","",$I124-TODAY())))</f>
        <v/>
      </c>
      <c r="P124" s="5" t="str">
        <f aca="true">IF($D124="","",IF($B124="","",IF($K124="Completed",IF($L124="","",$L124-$B124),TODAY()-$B124)))</f>
        <v/>
      </c>
      <c r="Q124" s="5" t="str">
        <f aca="false">IF($D124="","",IF($K124="Completed","",MAX($Q$1:$Q123)+1))</f>
        <v/>
      </c>
      <c r="R124" s="7"/>
    </row>
    <row r="125" customFormat="false" ht="15" hidden="false" customHeight="false" outlineLevel="0" collapsed="false">
      <c r="A125" s="5" t="str">
        <f aca="false">IF($D125="","",ROW()-1)</f>
        <v/>
      </c>
      <c r="B125" s="6"/>
      <c r="C125" s="7"/>
      <c r="D125" s="7"/>
      <c r="E125" s="7"/>
      <c r="F125" s="7"/>
      <c r="G125" s="8"/>
      <c r="H125" s="6"/>
      <c r="I125" s="9"/>
      <c r="J125" s="10"/>
      <c r="K125" s="8"/>
      <c r="L125" s="6"/>
      <c r="M125" s="11" t="str">
        <f aca="true">IF($D125="","",IF($K125="Completed",IF($L125="",$H125,$L125),IF($H125="","",IF($H125&lt;TODAY(),TODAY(),$H125))))</f>
        <v/>
      </c>
      <c r="N125" s="12" t="str">
        <f aca="true">IF($D125="","",IF($K125="Completed","Completed",IF($H125="","No Due Date",IF($H125&lt;TODAY(),"Carried Forward",IF($H125=TODAY(),"Due Today","Upcoming")))))</f>
        <v/>
      </c>
      <c r="O125" s="5" t="str">
        <f aca="true">IF($D125="","",IF($I125="","",IF($K125="Completed","",$I125-TODAY())))</f>
        <v/>
      </c>
      <c r="P125" s="5" t="str">
        <f aca="true">IF($D125="","",IF($B125="","",IF($K125="Completed",IF($L125="","",$L125-$B125),TODAY()-$B125)))</f>
        <v/>
      </c>
      <c r="Q125" s="5" t="str">
        <f aca="false">IF($D125="","",IF($K125="Completed","",MAX($Q$1:$Q124)+1))</f>
        <v/>
      </c>
      <c r="R125" s="7"/>
    </row>
    <row r="126" customFormat="false" ht="15" hidden="false" customHeight="false" outlineLevel="0" collapsed="false">
      <c r="A126" s="5" t="str">
        <f aca="false">IF($D126="","",ROW()-1)</f>
        <v/>
      </c>
      <c r="B126" s="6"/>
      <c r="C126" s="7"/>
      <c r="D126" s="7"/>
      <c r="E126" s="7"/>
      <c r="F126" s="7"/>
      <c r="G126" s="8"/>
      <c r="H126" s="6"/>
      <c r="I126" s="9"/>
      <c r="J126" s="10"/>
      <c r="K126" s="8"/>
      <c r="L126" s="6"/>
      <c r="M126" s="11" t="str">
        <f aca="true">IF($D126="","",IF($K126="Completed",IF($L126="",$H126,$L126),IF($H126="","",IF($H126&lt;TODAY(),TODAY(),$H126))))</f>
        <v/>
      </c>
      <c r="N126" s="12" t="str">
        <f aca="true">IF($D126="","",IF($K126="Completed","Completed",IF($H126="","No Due Date",IF($H126&lt;TODAY(),"Carried Forward",IF($H126=TODAY(),"Due Today","Upcoming")))))</f>
        <v/>
      </c>
      <c r="O126" s="5" t="str">
        <f aca="true">IF($D126="","",IF($I126="","",IF($K126="Completed","",$I126-TODAY())))</f>
        <v/>
      </c>
      <c r="P126" s="5" t="str">
        <f aca="true">IF($D126="","",IF($B126="","",IF($K126="Completed",IF($L126="","",$L126-$B126),TODAY()-$B126)))</f>
        <v/>
      </c>
      <c r="Q126" s="5" t="str">
        <f aca="false">IF($D126="","",IF($K126="Completed","",MAX($Q$1:$Q125)+1))</f>
        <v/>
      </c>
      <c r="R126" s="7"/>
    </row>
    <row r="127" customFormat="false" ht="15" hidden="false" customHeight="false" outlineLevel="0" collapsed="false">
      <c r="A127" s="5" t="str">
        <f aca="false">IF($D127="","",ROW()-1)</f>
        <v/>
      </c>
      <c r="B127" s="6"/>
      <c r="C127" s="7"/>
      <c r="D127" s="7"/>
      <c r="E127" s="7"/>
      <c r="F127" s="7"/>
      <c r="G127" s="8"/>
      <c r="H127" s="6"/>
      <c r="I127" s="9"/>
      <c r="J127" s="10"/>
      <c r="K127" s="8"/>
      <c r="L127" s="6"/>
      <c r="M127" s="11" t="str">
        <f aca="true">IF($D127="","",IF($K127="Completed",IF($L127="",$H127,$L127),IF($H127="","",IF($H127&lt;TODAY(),TODAY(),$H127))))</f>
        <v/>
      </c>
      <c r="N127" s="12" t="str">
        <f aca="true">IF($D127="","",IF($K127="Completed","Completed",IF($H127="","No Due Date",IF($H127&lt;TODAY(),"Carried Forward",IF($H127=TODAY(),"Due Today","Upcoming")))))</f>
        <v/>
      </c>
      <c r="O127" s="5" t="str">
        <f aca="true">IF($D127="","",IF($I127="","",IF($K127="Completed","",$I127-TODAY())))</f>
        <v/>
      </c>
      <c r="P127" s="5" t="str">
        <f aca="true">IF($D127="","",IF($B127="","",IF($K127="Completed",IF($L127="","",$L127-$B127),TODAY()-$B127)))</f>
        <v/>
      </c>
      <c r="Q127" s="5" t="str">
        <f aca="false">IF($D127="","",IF($K127="Completed","",MAX($Q$1:$Q126)+1))</f>
        <v/>
      </c>
      <c r="R127" s="7"/>
    </row>
    <row r="128" customFormat="false" ht="15" hidden="false" customHeight="false" outlineLevel="0" collapsed="false">
      <c r="A128" s="5" t="str">
        <f aca="false">IF($D128="","",ROW()-1)</f>
        <v/>
      </c>
      <c r="B128" s="6"/>
      <c r="C128" s="7"/>
      <c r="D128" s="7"/>
      <c r="E128" s="7"/>
      <c r="F128" s="7"/>
      <c r="G128" s="8"/>
      <c r="H128" s="6"/>
      <c r="I128" s="9"/>
      <c r="J128" s="10"/>
      <c r="K128" s="8"/>
      <c r="L128" s="6"/>
      <c r="M128" s="11" t="str">
        <f aca="true">IF($D128="","",IF($K128="Completed",IF($L128="",$H128,$L128),IF($H128="","",IF($H128&lt;TODAY(),TODAY(),$H128))))</f>
        <v/>
      </c>
      <c r="N128" s="12" t="str">
        <f aca="true">IF($D128="","",IF($K128="Completed","Completed",IF($H128="","No Due Date",IF($H128&lt;TODAY(),"Carried Forward",IF($H128=TODAY(),"Due Today","Upcoming")))))</f>
        <v/>
      </c>
      <c r="O128" s="5" t="str">
        <f aca="true">IF($D128="","",IF($I128="","",IF($K128="Completed","",$I128-TODAY())))</f>
        <v/>
      </c>
      <c r="P128" s="5" t="str">
        <f aca="true">IF($D128="","",IF($B128="","",IF($K128="Completed",IF($L128="","",$L128-$B128),TODAY()-$B128)))</f>
        <v/>
      </c>
      <c r="Q128" s="5" t="str">
        <f aca="false">IF($D128="","",IF($K128="Completed","",MAX($Q$1:$Q127)+1))</f>
        <v/>
      </c>
      <c r="R128" s="7"/>
    </row>
    <row r="129" customFormat="false" ht="15" hidden="false" customHeight="false" outlineLevel="0" collapsed="false">
      <c r="A129" s="5" t="str">
        <f aca="false">IF($D129="","",ROW()-1)</f>
        <v/>
      </c>
      <c r="B129" s="6"/>
      <c r="C129" s="7"/>
      <c r="D129" s="7"/>
      <c r="E129" s="7"/>
      <c r="F129" s="7"/>
      <c r="G129" s="8"/>
      <c r="H129" s="6"/>
      <c r="I129" s="9"/>
      <c r="J129" s="10"/>
      <c r="K129" s="8"/>
      <c r="L129" s="6"/>
      <c r="M129" s="11" t="str">
        <f aca="true">IF($D129="","",IF($K129="Completed",IF($L129="",$H129,$L129),IF($H129="","",IF($H129&lt;TODAY(),TODAY(),$H129))))</f>
        <v/>
      </c>
      <c r="N129" s="12" t="str">
        <f aca="true">IF($D129="","",IF($K129="Completed","Completed",IF($H129="","No Due Date",IF($H129&lt;TODAY(),"Carried Forward",IF($H129=TODAY(),"Due Today","Upcoming")))))</f>
        <v/>
      </c>
      <c r="O129" s="5" t="str">
        <f aca="true">IF($D129="","",IF($I129="","",IF($K129="Completed","",$I129-TODAY())))</f>
        <v/>
      </c>
      <c r="P129" s="5" t="str">
        <f aca="true">IF($D129="","",IF($B129="","",IF($K129="Completed",IF($L129="","",$L129-$B129),TODAY()-$B129)))</f>
        <v/>
      </c>
      <c r="Q129" s="5" t="str">
        <f aca="false">IF($D129="","",IF($K129="Completed","",MAX($Q$1:$Q128)+1))</f>
        <v/>
      </c>
      <c r="R129" s="7"/>
    </row>
    <row r="130" customFormat="false" ht="15" hidden="false" customHeight="false" outlineLevel="0" collapsed="false">
      <c r="A130" s="5" t="str">
        <f aca="false">IF($D130="","",ROW()-1)</f>
        <v/>
      </c>
      <c r="B130" s="6"/>
      <c r="C130" s="7"/>
      <c r="D130" s="7"/>
      <c r="E130" s="7"/>
      <c r="F130" s="7"/>
      <c r="G130" s="8"/>
      <c r="H130" s="6"/>
      <c r="I130" s="9"/>
      <c r="J130" s="10"/>
      <c r="K130" s="8"/>
      <c r="L130" s="6"/>
      <c r="M130" s="11" t="str">
        <f aca="true">IF($D130="","",IF($K130="Completed",IF($L130="",$H130,$L130),IF($H130="","",IF($H130&lt;TODAY(),TODAY(),$H130))))</f>
        <v/>
      </c>
      <c r="N130" s="12" t="str">
        <f aca="true">IF($D130="","",IF($K130="Completed","Completed",IF($H130="","No Due Date",IF($H130&lt;TODAY(),"Carried Forward",IF($H130=TODAY(),"Due Today","Upcoming")))))</f>
        <v/>
      </c>
      <c r="O130" s="5" t="str">
        <f aca="true">IF($D130="","",IF($I130="","",IF($K130="Completed","",$I130-TODAY())))</f>
        <v/>
      </c>
      <c r="P130" s="5" t="str">
        <f aca="true">IF($D130="","",IF($B130="","",IF($K130="Completed",IF($L130="","",$L130-$B130),TODAY()-$B130)))</f>
        <v/>
      </c>
      <c r="Q130" s="5" t="str">
        <f aca="false">IF($D130="","",IF($K130="Completed","",MAX($Q$1:$Q129)+1))</f>
        <v/>
      </c>
      <c r="R130" s="7"/>
    </row>
    <row r="131" customFormat="false" ht="15" hidden="false" customHeight="false" outlineLevel="0" collapsed="false">
      <c r="A131" s="5" t="str">
        <f aca="false">IF($D131="","",ROW()-1)</f>
        <v/>
      </c>
      <c r="B131" s="6"/>
      <c r="C131" s="7"/>
      <c r="D131" s="7"/>
      <c r="E131" s="7"/>
      <c r="F131" s="7"/>
      <c r="G131" s="8"/>
      <c r="H131" s="6"/>
      <c r="I131" s="9"/>
      <c r="J131" s="10"/>
      <c r="K131" s="8"/>
      <c r="L131" s="6"/>
      <c r="M131" s="11" t="str">
        <f aca="true">IF($D131="","",IF($K131="Completed",IF($L131="",$H131,$L131),IF($H131="","",IF($H131&lt;TODAY(),TODAY(),$H131))))</f>
        <v/>
      </c>
      <c r="N131" s="12" t="str">
        <f aca="true">IF($D131="","",IF($K131="Completed","Completed",IF($H131="","No Due Date",IF($H131&lt;TODAY(),"Carried Forward",IF($H131=TODAY(),"Due Today","Upcoming")))))</f>
        <v/>
      </c>
      <c r="O131" s="5" t="str">
        <f aca="true">IF($D131="","",IF($I131="","",IF($K131="Completed","",$I131-TODAY())))</f>
        <v/>
      </c>
      <c r="P131" s="5" t="str">
        <f aca="true">IF($D131="","",IF($B131="","",IF($K131="Completed",IF($L131="","",$L131-$B131),TODAY()-$B131)))</f>
        <v/>
      </c>
      <c r="Q131" s="5" t="str">
        <f aca="false">IF($D131="","",IF($K131="Completed","",MAX($Q$1:$Q130)+1))</f>
        <v/>
      </c>
      <c r="R131" s="7"/>
    </row>
    <row r="132" customFormat="false" ht="15" hidden="false" customHeight="false" outlineLevel="0" collapsed="false">
      <c r="A132" s="5" t="str">
        <f aca="false">IF($D132="","",ROW()-1)</f>
        <v/>
      </c>
      <c r="B132" s="6"/>
      <c r="C132" s="7"/>
      <c r="D132" s="7"/>
      <c r="E132" s="7"/>
      <c r="F132" s="7"/>
      <c r="G132" s="8"/>
      <c r="H132" s="6"/>
      <c r="I132" s="9"/>
      <c r="J132" s="10"/>
      <c r="K132" s="8"/>
      <c r="L132" s="6"/>
      <c r="M132" s="11" t="str">
        <f aca="true">IF($D132="","",IF($K132="Completed",IF($L132="",$H132,$L132),IF($H132="","",IF($H132&lt;TODAY(),TODAY(),$H132))))</f>
        <v/>
      </c>
      <c r="N132" s="12" t="str">
        <f aca="true">IF($D132="","",IF($K132="Completed","Completed",IF($H132="","No Due Date",IF($H132&lt;TODAY(),"Carried Forward",IF($H132=TODAY(),"Due Today","Upcoming")))))</f>
        <v/>
      </c>
      <c r="O132" s="5" t="str">
        <f aca="true">IF($D132="","",IF($I132="","",IF($K132="Completed","",$I132-TODAY())))</f>
        <v/>
      </c>
      <c r="P132" s="5" t="str">
        <f aca="true">IF($D132="","",IF($B132="","",IF($K132="Completed",IF($L132="","",$L132-$B132),TODAY()-$B132)))</f>
        <v/>
      </c>
      <c r="Q132" s="5" t="str">
        <f aca="false">IF($D132="","",IF($K132="Completed","",MAX($Q$1:$Q131)+1))</f>
        <v/>
      </c>
      <c r="R132" s="7"/>
    </row>
    <row r="133" customFormat="false" ht="15" hidden="false" customHeight="false" outlineLevel="0" collapsed="false">
      <c r="A133" s="5" t="str">
        <f aca="false">IF($D133="","",ROW()-1)</f>
        <v/>
      </c>
      <c r="B133" s="6"/>
      <c r="C133" s="7"/>
      <c r="D133" s="7"/>
      <c r="E133" s="7"/>
      <c r="F133" s="7"/>
      <c r="G133" s="8"/>
      <c r="H133" s="6"/>
      <c r="I133" s="9"/>
      <c r="J133" s="10"/>
      <c r="K133" s="8"/>
      <c r="L133" s="6"/>
      <c r="M133" s="11" t="str">
        <f aca="true">IF($D133="","",IF($K133="Completed",IF($L133="",$H133,$L133),IF($H133="","",IF($H133&lt;TODAY(),TODAY(),$H133))))</f>
        <v/>
      </c>
      <c r="N133" s="12" t="str">
        <f aca="true">IF($D133="","",IF($K133="Completed","Completed",IF($H133="","No Due Date",IF($H133&lt;TODAY(),"Carried Forward",IF($H133=TODAY(),"Due Today","Upcoming")))))</f>
        <v/>
      </c>
      <c r="O133" s="5" t="str">
        <f aca="true">IF($D133="","",IF($I133="","",IF($K133="Completed","",$I133-TODAY())))</f>
        <v/>
      </c>
      <c r="P133" s="5" t="str">
        <f aca="true">IF($D133="","",IF($B133="","",IF($K133="Completed",IF($L133="","",$L133-$B133),TODAY()-$B133)))</f>
        <v/>
      </c>
      <c r="Q133" s="5" t="str">
        <f aca="false">IF($D133="","",IF($K133="Completed","",MAX($Q$1:$Q132)+1))</f>
        <v/>
      </c>
      <c r="R133" s="7"/>
    </row>
    <row r="134" customFormat="false" ht="15" hidden="false" customHeight="false" outlineLevel="0" collapsed="false">
      <c r="A134" s="5" t="str">
        <f aca="false">IF($D134="","",ROW()-1)</f>
        <v/>
      </c>
      <c r="B134" s="6"/>
      <c r="C134" s="7"/>
      <c r="D134" s="7"/>
      <c r="E134" s="7"/>
      <c r="F134" s="7"/>
      <c r="G134" s="8"/>
      <c r="H134" s="6"/>
      <c r="I134" s="9"/>
      <c r="J134" s="10"/>
      <c r="K134" s="8"/>
      <c r="L134" s="6"/>
      <c r="M134" s="11" t="str">
        <f aca="true">IF($D134="","",IF($K134="Completed",IF($L134="",$H134,$L134),IF($H134="","",IF($H134&lt;TODAY(),TODAY(),$H134))))</f>
        <v/>
      </c>
      <c r="N134" s="12" t="str">
        <f aca="true">IF($D134="","",IF($K134="Completed","Completed",IF($H134="","No Due Date",IF($H134&lt;TODAY(),"Carried Forward",IF($H134=TODAY(),"Due Today","Upcoming")))))</f>
        <v/>
      </c>
      <c r="O134" s="5" t="str">
        <f aca="true">IF($D134="","",IF($I134="","",IF($K134="Completed","",$I134-TODAY())))</f>
        <v/>
      </c>
      <c r="P134" s="5" t="str">
        <f aca="true">IF($D134="","",IF($B134="","",IF($K134="Completed",IF($L134="","",$L134-$B134),TODAY()-$B134)))</f>
        <v/>
      </c>
      <c r="Q134" s="5" t="str">
        <f aca="false">IF($D134="","",IF($K134="Completed","",MAX($Q$1:$Q133)+1))</f>
        <v/>
      </c>
      <c r="R134" s="7"/>
    </row>
    <row r="135" customFormat="false" ht="15" hidden="false" customHeight="false" outlineLevel="0" collapsed="false">
      <c r="A135" s="5" t="str">
        <f aca="false">IF($D135="","",ROW()-1)</f>
        <v/>
      </c>
      <c r="B135" s="6"/>
      <c r="C135" s="7"/>
      <c r="D135" s="7"/>
      <c r="E135" s="7"/>
      <c r="F135" s="7"/>
      <c r="G135" s="8"/>
      <c r="H135" s="6"/>
      <c r="I135" s="9"/>
      <c r="J135" s="10"/>
      <c r="K135" s="8"/>
      <c r="L135" s="6"/>
      <c r="M135" s="11" t="str">
        <f aca="true">IF($D135="","",IF($K135="Completed",IF($L135="",$H135,$L135),IF($H135="","",IF($H135&lt;TODAY(),TODAY(),$H135))))</f>
        <v/>
      </c>
      <c r="N135" s="12" t="str">
        <f aca="true">IF($D135="","",IF($K135="Completed","Completed",IF($H135="","No Due Date",IF($H135&lt;TODAY(),"Carried Forward",IF($H135=TODAY(),"Due Today","Upcoming")))))</f>
        <v/>
      </c>
      <c r="O135" s="5" t="str">
        <f aca="true">IF($D135="","",IF($I135="","",IF($K135="Completed","",$I135-TODAY())))</f>
        <v/>
      </c>
      <c r="P135" s="5" t="str">
        <f aca="true">IF($D135="","",IF($B135="","",IF($K135="Completed",IF($L135="","",$L135-$B135),TODAY()-$B135)))</f>
        <v/>
      </c>
      <c r="Q135" s="5" t="str">
        <f aca="false">IF($D135="","",IF($K135="Completed","",MAX($Q$1:$Q134)+1))</f>
        <v/>
      </c>
      <c r="R135" s="7"/>
    </row>
    <row r="136" customFormat="false" ht="15" hidden="false" customHeight="false" outlineLevel="0" collapsed="false">
      <c r="A136" s="5" t="str">
        <f aca="false">IF($D136="","",ROW()-1)</f>
        <v/>
      </c>
      <c r="B136" s="6"/>
      <c r="C136" s="7"/>
      <c r="D136" s="7"/>
      <c r="E136" s="7"/>
      <c r="F136" s="7"/>
      <c r="G136" s="8"/>
      <c r="H136" s="6"/>
      <c r="I136" s="9"/>
      <c r="J136" s="10"/>
      <c r="K136" s="8"/>
      <c r="L136" s="6"/>
      <c r="M136" s="11" t="str">
        <f aca="true">IF($D136="","",IF($K136="Completed",IF($L136="",$H136,$L136),IF($H136="","",IF($H136&lt;TODAY(),TODAY(),$H136))))</f>
        <v/>
      </c>
      <c r="N136" s="12" t="str">
        <f aca="true">IF($D136="","",IF($K136="Completed","Completed",IF($H136="","No Due Date",IF($H136&lt;TODAY(),"Carried Forward",IF($H136=TODAY(),"Due Today","Upcoming")))))</f>
        <v/>
      </c>
      <c r="O136" s="5" t="str">
        <f aca="true">IF($D136="","",IF($I136="","",IF($K136="Completed","",$I136-TODAY())))</f>
        <v/>
      </c>
      <c r="P136" s="5" t="str">
        <f aca="true">IF($D136="","",IF($B136="","",IF($K136="Completed",IF($L136="","",$L136-$B136),TODAY()-$B136)))</f>
        <v/>
      </c>
      <c r="Q136" s="5" t="str">
        <f aca="false">IF($D136="","",IF($K136="Completed","",MAX($Q$1:$Q135)+1))</f>
        <v/>
      </c>
      <c r="R136" s="7"/>
    </row>
    <row r="137" customFormat="false" ht="15" hidden="false" customHeight="false" outlineLevel="0" collapsed="false">
      <c r="A137" s="5" t="str">
        <f aca="false">IF($D137="","",ROW()-1)</f>
        <v/>
      </c>
      <c r="B137" s="6"/>
      <c r="C137" s="7"/>
      <c r="D137" s="7"/>
      <c r="E137" s="7"/>
      <c r="F137" s="7"/>
      <c r="G137" s="8"/>
      <c r="H137" s="6"/>
      <c r="I137" s="9"/>
      <c r="J137" s="10"/>
      <c r="K137" s="8"/>
      <c r="L137" s="6"/>
      <c r="M137" s="11" t="str">
        <f aca="true">IF($D137="","",IF($K137="Completed",IF($L137="",$H137,$L137),IF($H137="","",IF($H137&lt;TODAY(),TODAY(),$H137))))</f>
        <v/>
      </c>
      <c r="N137" s="12" t="str">
        <f aca="true">IF($D137="","",IF($K137="Completed","Completed",IF($H137="","No Due Date",IF($H137&lt;TODAY(),"Carried Forward",IF($H137=TODAY(),"Due Today","Upcoming")))))</f>
        <v/>
      </c>
      <c r="O137" s="5" t="str">
        <f aca="true">IF($D137="","",IF($I137="","",IF($K137="Completed","",$I137-TODAY())))</f>
        <v/>
      </c>
      <c r="P137" s="5" t="str">
        <f aca="true">IF($D137="","",IF($B137="","",IF($K137="Completed",IF($L137="","",$L137-$B137),TODAY()-$B137)))</f>
        <v/>
      </c>
      <c r="Q137" s="5" t="str">
        <f aca="false">IF($D137="","",IF($K137="Completed","",MAX($Q$1:$Q136)+1))</f>
        <v/>
      </c>
      <c r="R137" s="7"/>
    </row>
    <row r="138" customFormat="false" ht="15" hidden="false" customHeight="false" outlineLevel="0" collapsed="false">
      <c r="A138" s="5" t="str">
        <f aca="false">IF($D138="","",ROW()-1)</f>
        <v/>
      </c>
      <c r="B138" s="6"/>
      <c r="C138" s="7"/>
      <c r="D138" s="7"/>
      <c r="E138" s="7"/>
      <c r="F138" s="7"/>
      <c r="G138" s="8"/>
      <c r="H138" s="6"/>
      <c r="I138" s="9"/>
      <c r="J138" s="10"/>
      <c r="K138" s="8"/>
      <c r="L138" s="6"/>
      <c r="M138" s="11" t="str">
        <f aca="true">IF($D138="","",IF($K138="Completed",IF($L138="",$H138,$L138),IF($H138="","",IF($H138&lt;TODAY(),TODAY(),$H138))))</f>
        <v/>
      </c>
      <c r="N138" s="12" t="str">
        <f aca="true">IF($D138="","",IF($K138="Completed","Completed",IF($H138="","No Due Date",IF($H138&lt;TODAY(),"Carried Forward",IF($H138=TODAY(),"Due Today","Upcoming")))))</f>
        <v/>
      </c>
      <c r="O138" s="5" t="str">
        <f aca="true">IF($D138="","",IF($I138="","",IF($K138="Completed","",$I138-TODAY())))</f>
        <v/>
      </c>
      <c r="P138" s="5" t="str">
        <f aca="true">IF($D138="","",IF($B138="","",IF($K138="Completed",IF($L138="","",$L138-$B138),TODAY()-$B138)))</f>
        <v/>
      </c>
      <c r="Q138" s="5" t="str">
        <f aca="false">IF($D138="","",IF($K138="Completed","",MAX($Q$1:$Q137)+1))</f>
        <v/>
      </c>
      <c r="R138" s="7"/>
    </row>
    <row r="139" customFormat="false" ht="15" hidden="false" customHeight="false" outlineLevel="0" collapsed="false">
      <c r="A139" s="5" t="str">
        <f aca="false">IF($D139="","",ROW()-1)</f>
        <v/>
      </c>
      <c r="B139" s="6"/>
      <c r="C139" s="7"/>
      <c r="D139" s="7"/>
      <c r="E139" s="7"/>
      <c r="F139" s="7"/>
      <c r="G139" s="8"/>
      <c r="H139" s="6"/>
      <c r="I139" s="9"/>
      <c r="J139" s="10"/>
      <c r="K139" s="8"/>
      <c r="L139" s="6"/>
      <c r="M139" s="11" t="str">
        <f aca="true">IF($D139="","",IF($K139="Completed",IF($L139="",$H139,$L139),IF($H139="","",IF($H139&lt;TODAY(),TODAY(),$H139))))</f>
        <v/>
      </c>
      <c r="N139" s="12" t="str">
        <f aca="true">IF($D139="","",IF($K139="Completed","Completed",IF($H139="","No Due Date",IF($H139&lt;TODAY(),"Carried Forward",IF($H139=TODAY(),"Due Today","Upcoming")))))</f>
        <v/>
      </c>
      <c r="O139" s="5" t="str">
        <f aca="true">IF($D139="","",IF($I139="","",IF($K139="Completed","",$I139-TODAY())))</f>
        <v/>
      </c>
      <c r="P139" s="5" t="str">
        <f aca="true">IF($D139="","",IF($B139="","",IF($K139="Completed",IF($L139="","",$L139-$B139),TODAY()-$B139)))</f>
        <v/>
      </c>
      <c r="Q139" s="5" t="str">
        <f aca="false">IF($D139="","",IF($K139="Completed","",MAX($Q$1:$Q138)+1))</f>
        <v/>
      </c>
      <c r="R139" s="7"/>
    </row>
    <row r="140" customFormat="false" ht="15" hidden="false" customHeight="false" outlineLevel="0" collapsed="false">
      <c r="A140" s="5" t="str">
        <f aca="false">IF($D140="","",ROW()-1)</f>
        <v/>
      </c>
      <c r="B140" s="6"/>
      <c r="C140" s="7"/>
      <c r="D140" s="7"/>
      <c r="E140" s="7"/>
      <c r="F140" s="7"/>
      <c r="G140" s="8"/>
      <c r="H140" s="6"/>
      <c r="I140" s="9"/>
      <c r="J140" s="10"/>
      <c r="K140" s="8"/>
      <c r="L140" s="6"/>
      <c r="M140" s="11" t="str">
        <f aca="true">IF($D140="","",IF($K140="Completed",IF($L140="",$H140,$L140),IF($H140="","",IF($H140&lt;TODAY(),TODAY(),$H140))))</f>
        <v/>
      </c>
      <c r="N140" s="12" t="str">
        <f aca="true">IF($D140="","",IF($K140="Completed","Completed",IF($H140="","No Due Date",IF($H140&lt;TODAY(),"Carried Forward",IF($H140=TODAY(),"Due Today","Upcoming")))))</f>
        <v/>
      </c>
      <c r="O140" s="5" t="str">
        <f aca="true">IF($D140="","",IF($I140="","",IF($K140="Completed","",$I140-TODAY())))</f>
        <v/>
      </c>
      <c r="P140" s="5" t="str">
        <f aca="true">IF($D140="","",IF($B140="","",IF($K140="Completed",IF($L140="","",$L140-$B140),TODAY()-$B140)))</f>
        <v/>
      </c>
      <c r="Q140" s="5" t="str">
        <f aca="false">IF($D140="","",IF($K140="Completed","",MAX($Q$1:$Q139)+1))</f>
        <v/>
      </c>
      <c r="R140" s="7"/>
    </row>
    <row r="141" customFormat="false" ht="15" hidden="false" customHeight="false" outlineLevel="0" collapsed="false">
      <c r="A141" s="5" t="str">
        <f aca="false">IF($D141="","",ROW()-1)</f>
        <v/>
      </c>
      <c r="B141" s="6"/>
      <c r="C141" s="7"/>
      <c r="D141" s="7"/>
      <c r="E141" s="7"/>
      <c r="F141" s="7"/>
      <c r="G141" s="8"/>
      <c r="H141" s="6"/>
      <c r="I141" s="9"/>
      <c r="J141" s="10"/>
      <c r="K141" s="8"/>
      <c r="L141" s="6"/>
      <c r="M141" s="11" t="str">
        <f aca="true">IF($D141="","",IF($K141="Completed",IF($L141="",$H141,$L141),IF($H141="","",IF($H141&lt;TODAY(),TODAY(),$H141))))</f>
        <v/>
      </c>
      <c r="N141" s="12" t="str">
        <f aca="true">IF($D141="","",IF($K141="Completed","Completed",IF($H141="","No Due Date",IF($H141&lt;TODAY(),"Carried Forward",IF($H141=TODAY(),"Due Today","Upcoming")))))</f>
        <v/>
      </c>
      <c r="O141" s="5" t="str">
        <f aca="true">IF($D141="","",IF($I141="","",IF($K141="Completed","",$I141-TODAY())))</f>
        <v/>
      </c>
      <c r="P141" s="5" t="str">
        <f aca="true">IF($D141="","",IF($B141="","",IF($K141="Completed",IF($L141="","",$L141-$B141),TODAY()-$B141)))</f>
        <v/>
      </c>
      <c r="Q141" s="5" t="str">
        <f aca="false">IF($D141="","",IF($K141="Completed","",MAX($Q$1:$Q140)+1))</f>
        <v/>
      </c>
      <c r="R141" s="7"/>
    </row>
    <row r="142" customFormat="false" ht="15" hidden="false" customHeight="false" outlineLevel="0" collapsed="false">
      <c r="A142" s="5" t="str">
        <f aca="false">IF($D142="","",ROW()-1)</f>
        <v/>
      </c>
      <c r="B142" s="6"/>
      <c r="C142" s="7"/>
      <c r="D142" s="7"/>
      <c r="E142" s="7"/>
      <c r="F142" s="7"/>
      <c r="G142" s="8"/>
      <c r="H142" s="6"/>
      <c r="I142" s="9"/>
      <c r="J142" s="10"/>
      <c r="K142" s="8"/>
      <c r="L142" s="6"/>
      <c r="M142" s="11" t="str">
        <f aca="true">IF($D142="","",IF($K142="Completed",IF($L142="",$H142,$L142),IF($H142="","",IF($H142&lt;TODAY(),TODAY(),$H142))))</f>
        <v/>
      </c>
      <c r="N142" s="12" t="str">
        <f aca="true">IF($D142="","",IF($K142="Completed","Completed",IF($H142="","No Due Date",IF($H142&lt;TODAY(),"Carried Forward",IF($H142=TODAY(),"Due Today","Upcoming")))))</f>
        <v/>
      </c>
      <c r="O142" s="5" t="str">
        <f aca="true">IF($D142="","",IF($I142="","",IF($K142="Completed","",$I142-TODAY())))</f>
        <v/>
      </c>
      <c r="P142" s="5" t="str">
        <f aca="true">IF($D142="","",IF($B142="","",IF($K142="Completed",IF($L142="","",$L142-$B142),TODAY()-$B142)))</f>
        <v/>
      </c>
      <c r="Q142" s="5" t="str">
        <f aca="false">IF($D142="","",IF($K142="Completed","",MAX($Q$1:$Q141)+1))</f>
        <v/>
      </c>
      <c r="R142" s="7"/>
    </row>
    <row r="143" customFormat="false" ht="15" hidden="false" customHeight="false" outlineLevel="0" collapsed="false">
      <c r="A143" s="5" t="str">
        <f aca="false">IF($D143="","",ROW()-1)</f>
        <v/>
      </c>
      <c r="B143" s="6"/>
      <c r="C143" s="7"/>
      <c r="D143" s="7"/>
      <c r="E143" s="7"/>
      <c r="F143" s="7"/>
      <c r="G143" s="8"/>
      <c r="H143" s="6"/>
      <c r="I143" s="9"/>
      <c r="J143" s="10"/>
      <c r="K143" s="8"/>
      <c r="L143" s="6"/>
      <c r="M143" s="11" t="str">
        <f aca="true">IF($D143="","",IF($K143="Completed",IF($L143="",$H143,$L143),IF($H143="","",IF($H143&lt;TODAY(),TODAY(),$H143))))</f>
        <v/>
      </c>
      <c r="N143" s="12" t="str">
        <f aca="true">IF($D143="","",IF($K143="Completed","Completed",IF($H143="","No Due Date",IF($H143&lt;TODAY(),"Carried Forward",IF($H143=TODAY(),"Due Today","Upcoming")))))</f>
        <v/>
      </c>
      <c r="O143" s="5" t="str">
        <f aca="true">IF($D143="","",IF($I143="","",IF($K143="Completed","",$I143-TODAY())))</f>
        <v/>
      </c>
      <c r="P143" s="5" t="str">
        <f aca="true">IF($D143="","",IF($B143="","",IF($K143="Completed",IF($L143="","",$L143-$B143),TODAY()-$B143)))</f>
        <v/>
      </c>
      <c r="Q143" s="5" t="str">
        <f aca="false">IF($D143="","",IF($K143="Completed","",MAX($Q$1:$Q142)+1))</f>
        <v/>
      </c>
      <c r="R143" s="7"/>
    </row>
    <row r="144" customFormat="false" ht="15" hidden="false" customHeight="false" outlineLevel="0" collapsed="false">
      <c r="A144" s="5" t="str">
        <f aca="false">IF($D144="","",ROW()-1)</f>
        <v/>
      </c>
      <c r="B144" s="6"/>
      <c r="C144" s="7"/>
      <c r="D144" s="7"/>
      <c r="E144" s="7"/>
      <c r="F144" s="7"/>
      <c r="G144" s="8"/>
      <c r="H144" s="6"/>
      <c r="I144" s="9"/>
      <c r="J144" s="10"/>
      <c r="K144" s="8"/>
      <c r="L144" s="6"/>
      <c r="M144" s="11" t="str">
        <f aca="true">IF($D144="","",IF($K144="Completed",IF($L144="",$H144,$L144),IF($H144="","",IF($H144&lt;TODAY(),TODAY(),$H144))))</f>
        <v/>
      </c>
      <c r="N144" s="12" t="str">
        <f aca="true">IF($D144="","",IF($K144="Completed","Completed",IF($H144="","No Due Date",IF($H144&lt;TODAY(),"Carried Forward",IF($H144=TODAY(),"Due Today","Upcoming")))))</f>
        <v/>
      </c>
      <c r="O144" s="5" t="str">
        <f aca="true">IF($D144="","",IF($I144="","",IF($K144="Completed","",$I144-TODAY())))</f>
        <v/>
      </c>
      <c r="P144" s="5" t="str">
        <f aca="true">IF($D144="","",IF($B144="","",IF($K144="Completed",IF($L144="","",$L144-$B144),TODAY()-$B144)))</f>
        <v/>
      </c>
      <c r="Q144" s="5" t="str">
        <f aca="false">IF($D144="","",IF($K144="Completed","",MAX($Q$1:$Q143)+1))</f>
        <v/>
      </c>
      <c r="R144" s="7"/>
    </row>
    <row r="145" customFormat="false" ht="15" hidden="false" customHeight="false" outlineLevel="0" collapsed="false">
      <c r="A145" s="5" t="str">
        <f aca="false">IF($D145="","",ROW()-1)</f>
        <v/>
      </c>
      <c r="B145" s="6"/>
      <c r="C145" s="7"/>
      <c r="D145" s="7"/>
      <c r="E145" s="7"/>
      <c r="F145" s="7"/>
      <c r="G145" s="8"/>
      <c r="H145" s="6"/>
      <c r="I145" s="9"/>
      <c r="J145" s="10"/>
      <c r="K145" s="8"/>
      <c r="L145" s="6"/>
      <c r="M145" s="11" t="str">
        <f aca="true">IF($D145="","",IF($K145="Completed",IF($L145="",$H145,$L145),IF($H145="","",IF($H145&lt;TODAY(),TODAY(),$H145))))</f>
        <v/>
      </c>
      <c r="N145" s="12" t="str">
        <f aca="true">IF($D145="","",IF($K145="Completed","Completed",IF($H145="","No Due Date",IF($H145&lt;TODAY(),"Carried Forward",IF($H145=TODAY(),"Due Today","Upcoming")))))</f>
        <v/>
      </c>
      <c r="O145" s="5" t="str">
        <f aca="true">IF($D145="","",IF($I145="","",IF($K145="Completed","",$I145-TODAY())))</f>
        <v/>
      </c>
      <c r="P145" s="5" t="str">
        <f aca="true">IF($D145="","",IF($B145="","",IF($K145="Completed",IF($L145="","",$L145-$B145),TODAY()-$B145)))</f>
        <v/>
      </c>
      <c r="Q145" s="5" t="str">
        <f aca="false">IF($D145="","",IF($K145="Completed","",MAX($Q$1:$Q144)+1))</f>
        <v/>
      </c>
      <c r="R145" s="7"/>
    </row>
    <row r="146" customFormat="false" ht="15" hidden="false" customHeight="false" outlineLevel="0" collapsed="false">
      <c r="A146" s="5" t="str">
        <f aca="false">IF($D146="","",ROW()-1)</f>
        <v/>
      </c>
      <c r="B146" s="6"/>
      <c r="C146" s="7"/>
      <c r="D146" s="7"/>
      <c r="E146" s="7"/>
      <c r="F146" s="7"/>
      <c r="G146" s="8"/>
      <c r="H146" s="6"/>
      <c r="I146" s="9"/>
      <c r="J146" s="10"/>
      <c r="K146" s="8"/>
      <c r="L146" s="6"/>
      <c r="M146" s="11" t="str">
        <f aca="true">IF($D146="","",IF($K146="Completed",IF($L146="",$H146,$L146),IF($H146="","",IF($H146&lt;TODAY(),TODAY(),$H146))))</f>
        <v/>
      </c>
      <c r="N146" s="12" t="str">
        <f aca="true">IF($D146="","",IF($K146="Completed","Completed",IF($H146="","No Due Date",IF($H146&lt;TODAY(),"Carried Forward",IF($H146=TODAY(),"Due Today","Upcoming")))))</f>
        <v/>
      </c>
      <c r="O146" s="5" t="str">
        <f aca="true">IF($D146="","",IF($I146="","",IF($K146="Completed","",$I146-TODAY())))</f>
        <v/>
      </c>
      <c r="P146" s="5" t="str">
        <f aca="true">IF($D146="","",IF($B146="","",IF($K146="Completed",IF($L146="","",$L146-$B146),TODAY()-$B146)))</f>
        <v/>
      </c>
      <c r="Q146" s="5" t="str">
        <f aca="false">IF($D146="","",IF($K146="Completed","",MAX($Q$1:$Q145)+1))</f>
        <v/>
      </c>
      <c r="R146" s="7"/>
    </row>
    <row r="147" customFormat="false" ht="15" hidden="false" customHeight="false" outlineLevel="0" collapsed="false">
      <c r="A147" s="5" t="str">
        <f aca="false">IF($D147="","",ROW()-1)</f>
        <v/>
      </c>
      <c r="B147" s="6"/>
      <c r="C147" s="7"/>
      <c r="D147" s="7"/>
      <c r="E147" s="7"/>
      <c r="F147" s="7"/>
      <c r="G147" s="8"/>
      <c r="H147" s="6"/>
      <c r="I147" s="9"/>
      <c r="J147" s="10"/>
      <c r="K147" s="8"/>
      <c r="L147" s="6"/>
      <c r="M147" s="11" t="str">
        <f aca="true">IF($D147="","",IF($K147="Completed",IF($L147="",$H147,$L147),IF($H147="","",IF($H147&lt;TODAY(),TODAY(),$H147))))</f>
        <v/>
      </c>
      <c r="N147" s="12" t="str">
        <f aca="true">IF($D147="","",IF($K147="Completed","Completed",IF($H147="","No Due Date",IF($H147&lt;TODAY(),"Carried Forward",IF($H147=TODAY(),"Due Today","Upcoming")))))</f>
        <v/>
      </c>
      <c r="O147" s="5" t="str">
        <f aca="true">IF($D147="","",IF($I147="","",IF($K147="Completed","",$I147-TODAY())))</f>
        <v/>
      </c>
      <c r="P147" s="5" t="str">
        <f aca="true">IF($D147="","",IF($B147="","",IF($K147="Completed",IF($L147="","",$L147-$B147),TODAY()-$B147)))</f>
        <v/>
      </c>
      <c r="Q147" s="5" t="str">
        <f aca="false">IF($D147="","",IF($K147="Completed","",MAX($Q$1:$Q146)+1))</f>
        <v/>
      </c>
      <c r="R147" s="7"/>
    </row>
    <row r="148" customFormat="false" ht="15" hidden="false" customHeight="false" outlineLevel="0" collapsed="false">
      <c r="A148" s="5" t="str">
        <f aca="false">IF($D148="","",ROW()-1)</f>
        <v/>
      </c>
      <c r="B148" s="6"/>
      <c r="C148" s="7"/>
      <c r="D148" s="7"/>
      <c r="E148" s="7"/>
      <c r="F148" s="7"/>
      <c r="G148" s="8"/>
      <c r="H148" s="6"/>
      <c r="I148" s="9"/>
      <c r="J148" s="10"/>
      <c r="K148" s="8"/>
      <c r="L148" s="6"/>
      <c r="M148" s="11" t="str">
        <f aca="true">IF($D148="","",IF($K148="Completed",IF($L148="",$H148,$L148),IF($H148="","",IF($H148&lt;TODAY(),TODAY(),$H148))))</f>
        <v/>
      </c>
      <c r="N148" s="12" t="str">
        <f aca="true">IF($D148="","",IF($K148="Completed","Completed",IF($H148="","No Due Date",IF($H148&lt;TODAY(),"Carried Forward",IF($H148=TODAY(),"Due Today","Upcoming")))))</f>
        <v/>
      </c>
      <c r="O148" s="5" t="str">
        <f aca="true">IF($D148="","",IF($I148="","",IF($K148="Completed","",$I148-TODAY())))</f>
        <v/>
      </c>
      <c r="P148" s="5" t="str">
        <f aca="true">IF($D148="","",IF($B148="","",IF($K148="Completed",IF($L148="","",$L148-$B148),TODAY()-$B148)))</f>
        <v/>
      </c>
      <c r="Q148" s="5" t="str">
        <f aca="false">IF($D148="","",IF($K148="Completed","",MAX($Q$1:$Q147)+1))</f>
        <v/>
      </c>
      <c r="R148" s="7"/>
    </row>
    <row r="149" customFormat="false" ht="15" hidden="false" customHeight="false" outlineLevel="0" collapsed="false">
      <c r="A149" s="5" t="str">
        <f aca="false">IF($D149="","",ROW()-1)</f>
        <v/>
      </c>
      <c r="B149" s="6"/>
      <c r="C149" s="7"/>
      <c r="D149" s="7"/>
      <c r="E149" s="7"/>
      <c r="F149" s="7"/>
      <c r="G149" s="8"/>
      <c r="H149" s="6"/>
      <c r="I149" s="9"/>
      <c r="J149" s="10"/>
      <c r="K149" s="8"/>
      <c r="L149" s="6"/>
      <c r="M149" s="11" t="str">
        <f aca="true">IF($D149="","",IF($K149="Completed",IF($L149="",$H149,$L149),IF($H149="","",IF($H149&lt;TODAY(),TODAY(),$H149))))</f>
        <v/>
      </c>
      <c r="N149" s="12" t="str">
        <f aca="true">IF($D149="","",IF($K149="Completed","Completed",IF($H149="","No Due Date",IF($H149&lt;TODAY(),"Carried Forward",IF($H149=TODAY(),"Due Today","Upcoming")))))</f>
        <v/>
      </c>
      <c r="O149" s="5" t="str">
        <f aca="true">IF($D149="","",IF($I149="","",IF($K149="Completed","",$I149-TODAY())))</f>
        <v/>
      </c>
      <c r="P149" s="5" t="str">
        <f aca="true">IF($D149="","",IF($B149="","",IF($K149="Completed",IF($L149="","",$L149-$B149),TODAY()-$B149)))</f>
        <v/>
      </c>
      <c r="Q149" s="5" t="str">
        <f aca="false">IF($D149="","",IF($K149="Completed","",MAX($Q$1:$Q148)+1))</f>
        <v/>
      </c>
      <c r="R149" s="7"/>
    </row>
    <row r="150" customFormat="false" ht="15" hidden="false" customHeight="false" outlineLevel="0" collapsed="false">
      <c r="A150" s="5" t="str">
        <f aca="false">IF($D150="","",ROW()-1)</f>
        <v/>
      </c>
      <c r="B150" s="6"/>
      <c r="C150" s="7"/>
      <c r="D150" s="7"/>
      <c r="E150" s="7"/>
      <c r="F150" s="7"/>
      <c r="G150" s="8"/>
      <c r="H150" s="6"/>
      <c r="I150" s="9"/>
      <c r="J150" s="10"/>
      <c r="K150" s="8"/>
      <c r="L150" s="6"/>
      <c r="M150" s="11" t="str">
        <f aca="true">IF($D150="","",IF($K150="Completed",IF($L150="",$H150,$L150),IF($H150="","",IF($H150&lt;TODAY(),TODAY(),$H150))))</f>
        <v/>
      </c>
      <c r="N150" s="12" t="str">
        <f aca="true">IF($D150="","",IF($K150="Completed","Completed",IF($H150="","No Due Date",IF($H150&lt;TODAY(),"Carried Forward",IF($H150=TODAY(),"Due Today","Upcoming")))))</f>
        <v/>
      </c>
      <c r="O150" s="5" t="str">
        <f aca="true">IF($D150="","",IF($I150="","",IF($K150="Completed","",$I150-TODAY())))</f>
        <v/>
      </c>
      <c r="P150" s="5" t="str">
        <f aca="true">IF($D150="","",IF($B150="","",IF($K150="Completed",IF($L150="","",$L150-$B150),TODAY()-$B150)))</f>
        <v/>
      </c>
      <c r="Q150" s="5" t="str">
        <f aca="false">IF($D150="","",IF($K150="Completed","",MAX($Q$1:$Q149)+1))</f>
        <v/>
      </c>
      <c r="R150" s="7"/>
    </row>
    <row r="151" customFormat="false" ht="15" hidden="false" customHeight="false" outlineLevel="0" collapsed="false">
      <c r="A151" s="5" t="str">
        <f aca="false">IF($D151="","",ROW()-1)</f>
        <v/>
      </c>
      <c r="B151" s="6"/>
      <c r="C151" s="7"/>
      <c r="D151" s="7"/>
      <c r="E151" s="7"/>
      <c r="F151" s="7"/>
      <c r="G151" s="8"/>
      <c r="H151" s="6"/>
      <c r="I151" s="9"/>
      <c r="J151" s="10"/>
      <c r="K151" s="8"/>
      <c r="L151" s="6"/>
      <c r="M151" s="11" t="str">
        <f aca="true">IF($D151="","",IF($K151="Completed",IF($L151="",$H151,$L151),IF($H151="","",IF($H151&lt;TODAY(),TODAY(),$H151))))</f>
        <v/>
      </c>
      <c r="N151" s="12" t="str">
        <f aca="true">IF($D151="","",IF($K151="Completed","Completed",IF($H151="","No Due Date",IF($H151&lt;TODAY(),"Carried Forward",IF($H151=TODAY(),"Due Today","Upcoming")))))</f>
        <v/>
      </c>
      <c r="O151" s="5" t="str">
        <f aca="true">IF($D151="","",IF($I151="","",IF($K151="Completed","",$I151-TODAY())))</f>
        <v/>
      </c>
      <c r="P151" s="5" t="str">
        <f aca="true">IF($D151="","",IF($B151="","",IF($K151="Completed",IF($L151="","",$L151-$B151),TODAY()-$B151)))</f>
        <v/>
      </c>
      <c r="Q151" s="5" t="str">
        <f aca="false">IF($D151="","",IF($K151="Completed","",MAX($Q$1:$Q150)+1))</f>
        <v/>
      </c>
      <c r="R151" s="7"/>
    </row>
    <row r="152" customFormat="false" ht="15" hidden="false" customHeight="false" outlineLevel="0" collapsed="false">
      <c r="A152" s="5" t="str">
        <f aca="false">IF($D152="","",ROW()-1)</f>
        <v/>
      </c>
      <c r="B152" s="6"/>
      <c r="C152" s="7"/>
      <c r="D152" s="7"/>
      <c r="E152" s="7"/>
      <c r="F152" s="7"/>
      <c r="G152" s="8"/>
      <c r="H152" s="6"/>
      <c r="I152" s="9"/>
      <c r="J152" s="10"/>
      <c r="K152" s="8"/>
      <c r="L152" s="6"/>
      <c r="M152" s="11" t="str">
        <f aca="true">IF($D152="","",IF($K152="Completed",IF($L152="",$H152,$L152),IF($H152="","",IF($H152&lt;TODAY(),TODAY(),$H152))))</f>
        <v/>
      </c>
      <c r="N152" s="12" t="str">
        <f aca="true">IF($D152="","",IF($K152="Completed","Completed",IF($H152="","No Due Date",IF($H152&lt;TODAY(),"Carried Forward",IF($H152=TODAY(),"Due Today","Upcoming")))))</f>
        <v/>
      </c>
      <c r="O152" s="5" t="str">
        <f aca="true">IF($D152="","",IF($I152="","",IF($K152="Completed","",$I152-TODAY())))</f>
        <v/>
      </c>
      <c r="P152" s="5" t="str">
        <f aca="true">IF($D152="","",IF($B152="","",IF($K152="Completed",IF($L152="","",$L152-$B152),TODAY()-$B152)))</f>
        <v/>
      </c>
      <c r="Q152" s="5" t="str">
        <f aca="false">IF($D152="","",IF($K152="Completed","",MAX($Q$1:$Q151)+1))</f>
        <v/>
      </c>
      <c r="R152" s="7"/>
    </row>
    <row r="153" customFormat="false" ht="15" hidden="false" customHeight="false" outlineLevel="0" collapsed="false">
      <c r="A153" s="5" t="str">
        <f aca="false">IF($D153="","",ROW()-1)</f>
        <v/>
      </c>
      <c r="B153" s="6"/>
      <c r="C153" s="7"/>
      <c r="D153" s="7"/>
      <c r="E153" s="7"/>
      <c r="F153" s="7"/>
      <c r="G153" s="8"/>
      <c r="H153" s="6"/>
      <c r="I153" s="9"/>
      <c r="J153" s="10"/>
      <c r="K153" s="8"/>
      <c r="L153" s="6"/>
      <c r="M153" s="11" t="str">
        <f aca="true">IF($D153="","",IF($K153="Completed",IF($L153="",$H153,$L153),IF($H153="","",IF($H153&lt;TODAY(),TODAY(),$H153))))</f>
        <v/>
      </c>
      <c r="N153" s="12" t="str">
        <f aca="true">IF($D153="","",IF($K153="Completed","Completed",IF($H153="","No Due Date",IF($H153&lt;TODAY(),"Carried Forward",IF($H153=TODAY(),"Due Today","Upcoming")))))</f>
        <v/>
      </c>
      <c r="O153" s="5" t="str">
        <f aca="true">IF($D153="","",IF($I153="","",IF($K153="Completed","",$I153-TODAY())))</f>
        <v/>
      </c>
      <c r="P153" s="5" t="str">
        <f aca="true">IF($D153="","",IF($B153="","",IF($K153="Completed",IF($L153="","",$L153-$B153),TODAY()-$B153)))</f>
        <v/>
      </c>
      <c r="Q153" s="5" t="str">
        <f aca="false">IF($D153="","",IF($K153="Completed","",MAX($Q$1:$Q152)+1))</f>
        <v/>
      </c>
      <c r="R153" s="7"/>
    </row>
    <row r="154" customFormat="false" ht="15" hidden="false" customHeight="false" outlineLevel="0" collapsed="false">
      <c r="A154" s="5" t="str">
        <f aca="false">IF($D154="","",ROW()-1)</f>
        <v/>
      </c>
      <c r="B154" s="6"/>
      <c r="C154" s="7"/>
      <c r="D154" s="7"/>
      <c r="E154" s="7"/>
      <c r="F154" s="7"/>
      <c r="G154" s="8"/>
      <c r="H154" s="6"/>
      <c r="I154" s="9"/>
      <c r="J154" s="10"/>
      <c r="K154" s="8"/>
      <c r="L154" s="6"/>
      <c r="M154" s="11" t="str">
        <f aca="true">IF($D154="","",IF($K154="Completed",IF($L154="",$H154,$L154),IF($H154="","",IF($H154&lt;TODAY(),TODAY(),$H154))))</f>
        <v/>
      </c>
      <c r="N154" s="12" t="str">
        <f aca="true">IF($D154="","",IF($K154="Completed","Completed",IF($H154="","No Due Date",IF($H154&lt;TODAY(),"Carried Forward",IF($H154=TODAY(),"Due Today","Upcoming")))))</f>
        <v/>
      </c>
      <c r="O154" s="5" t="str">
        <f aca="true">IF($D154="","",IF($I154="","",IF($K154="Completed","",$I154-TODAY())))</f>
        <v/>
      </c>
      <c r="P154" s="5" t="str">
        <f aca="true">IF($D154="","",IF($B154="","",IF($K154="Completed",IF($L154="","",$L154-$B154),TODAY()-$B154)))</f>
        <v/>
      </c>
      <c r="Q154" s="5" t="str">
        <f aca="false">IF($D154="","",IF($K154="Completed","",MAX($Q$1:$Q153)+1))</f>
        <v/>
      </c>
      <c r="R154" s="7"/>
    </row>
    <row r="155" customFormat="false" ht="15" hidden="false" customHeight="false" outlineLevel="0" collapsed="false">
      <c r="A155" s="5" t="str">
        <f aca="false">IF($D155="","",ROW()-1)</f>
        <v/>
      </c>
      <c r="B155" s="6"/>
      <c r="C155" s="7"/>
      <c r="D155" s="7"/>
      <c r="E155" s="7"/>
      <c r="F155" s="7"/>
      <c r="G155" s="8"/>
      <c r="H155" s="6"/>
      <c r="I155" s="9"/>
      <c r="J155" s="10"/>
      <c r="K155" s="8"/>
      <c r="L155" s="6"/>
      <c r="M155" s="11" t="str">
        <f aca="true">IF($D155="","",IF($K155="Completed",IF($L155="",$H155,$L155),IF($H155="","",IF($H155&lt;TODAY(),TODAY(),$H155))))</f>
        <v/>
      </c>
      <c r="N155" s="12" t="str">
        <f aca="true">IF($D155="","",IF($K155="Completed","Completed",IF($H155="","No Due Date",IF($H155&lt;TODAY(),"Carried Forward",IF($H155=TODAY(),"Due Today","Upcoming")))))</f>
        <v/>
      </c>
      <c r="O155" s="5" t="str">
        <f aca="true">IF($D155="","",IF($I155="","",IF($K155="Completed","",$I155-TODAY())))</f>
        <v/>
      </c>
      <c r="P155" s="5" t="str">
        <f aca="true">IF($D155="","",IF($B155="","",IF($K155="Completed",IF($L155="","",$L155-$B155),TODAY()-$B155)))</f>
        <v/>
      </c>
      <c r="Q155" s="5" t="str">
        <f aca="false">IF($D155="","",IF($K155="Completed","",MAX($Q$1:$Q154)+1))</f>
        <v/>
      </c>
      <c r="R155" s="7"/>
    </row>
    <row r="156" customFormat="false" ht="15" hidden="false" customHeight="false" outlineLevel="0" collapsed="false">
      <c r="A156" s="5" t="str">
        <f aca="false">IF($D156="","",ROW()-1)</f>
        <v/>
      </c>
      <c r="B156" s="6"/>
      <c r="C156" s="7"/>
      <c r="D156" s="7"/>
      <c r="E156" s="7"/>
      <c r="F156" s="7"/>
      <c r="G156" s="8"/>
      <c r="H156" s="6"/>
      <c r="I156" s="9"/>
      <c r="J156" s="10"/>
      <c r="K156" s="8"/>
      <c r="L156" s="6"/>
      <c r="M156" s="11" t="str">
        <f aca="true">IF($D156="","",IF($K156="Completed",IF($L156="",$H156,$L156),IF($H156="","",IF($H156&lt;TODAY(),TODAY(),$H156))))</f>
        <v/>
      </c>
      <c r="N156" s="12" t="str">
        <f aca="true">IF($D156="","",IF($K156="Completed","Completed",IF($H156="","No Due Date",IF($H156&lt;TODAY(),"Carried Forward",IF($H156=TODAY(),"Due Today","Upcoming")))))</f>
        <v/>
      </c>
      <c r="O156" s="5" t="str">
        <f aca="true">IF($D156="","",IF($I156="","",IF($K156="Completed","",$I156-TODAY())))</f>
        <v/>
      </c>
      <c r="P156" s="5" t="str">
        <f aca="true">IF($D156="","",IF($B156="","",IF($K156="Completed",IF($L156="","",$L156-$B156),TODAY()-$B156)))</f>
        <v/>
      </c>
      <c r="Q156" s="5" t="str">
        <f aca="false">IF($D156="","",IF($K156="Completed","",MAX($Q$1:$Q155)+1))</f>
        <v/>
      </c>
      <c r="R156" s="7"/>
    </row>
    <row r="157" customFormat="false" ht="15" hidden="false" customHeight="false" outlineLevel="0" collapsed="false">
      <c r="A157" s="5" t="str">
        <f aca="false">IF($D157="","",ROW()-1)</f>
        <v/>
      </c>
      <c r="B157" s="6"/>
      <c r="C157" s="7"/>
      <c r="D157" s="7"/>
      <c r="E157" s="7"/>
      <c r="F157" s="7"/>
      <c r="G157" s="8"/>
      <c r="H157" s="6"/>
      <c r="I157" s="9"/>
      <c r="J157" s="10"/>
      <c r="K157" s="8"/>
      <c r="L157" s="6"/>
      <c r="M157" s="11" t="str">
        <f aca="true">IF($D157="","",IF($K157="Completed",IF($L157="",$H157,$L157),IF($H157="","",IF($H157&lt;TODAY(),TODAY(),$H157))))</f>
        <v/>
      </c>
      <c r="N157" s="12" t="str">
        <f aca="true">IF($D157="","",IF($K157="Completed","Completed",IF($H157="","No Due Date",IF($H157&lt;TODAY(),"Carried Forward",IF($H157=TODAY(),"Due Today","Upcoming")))))</f>
        <v/>
      </c>
      <c r="O157" s="5" t="str">
        <f aca="true">IF($D157="","",IF($I157="","",IF($K157="Completed","",$I157-TODAY())))</f>
        <v/>
      </c>
      <c r="P157" s="5" t="str">
        <f aca="true">IF($D157="","",IF($B157="","",IF($K157="Completed",IF($L157="","",$L157-$B157),TODAY()-$B157)))</f>
        <v/>
      </c>
      <c r="Q157" s="5" t="str">
        <f aca="false">IF($D157="","",IF($K157="Completed","",MAX($Q$1:$Q156)+1))</f>
        <v/>
      </c>
      <c r="R157" s="7"/>
    </row>
    <row r="158" customFormat="false" ht="15" hidden="false" customHeight="false" outlineLevel="0" collapsed="false">
      <c r="A158" s="5" t="str">
        <f aca="false">IF($D158="","",ROW()-1)</f>
        <v/>
      </c>
      <c r="B158" s="6"/>
      <c r="C158" s="7"/>
      <c r="D158" s="7"/>
      <c r="E158" s="7"/>
      <c r="F158" s="7"/>
      <c r="G158" s="8"/>
      <c r="H158" s="6"/>
      <c r="I158" s="9"/>
      <c r="J158" s="10"/>
      <c r="K158" s="8"/>
      <c r="L158" s="6"/>
      <c r="M158" s="11" t="str">
        <f aca="true">IF($D158="","",IF($K158="Completed",IF($L158="",$H158,$L158),IF($H158="","",IF($H158&lt;TODAY(),TODAY(),$H158))))</f>
        <v/>
      </c>
      <c r="N158" s="12" t="str">
        <f aca="true">IF($D158="","",IF($K158="Completed","Completed",IF($H158="","No Due Date",IF($H158&lt;TODAY(),"Carried Forward",IF($H158=TODAY(),"Due Today","Upcoming")))))</f>
        <v/>
      </c>
      <c r="O158" s="5" t="str">
        <f aca="true">IF($D158="","",IF($I158="","",IF($K158="Completed","",$I158-TODAY())))</f>
        <v/>
      </c>
      <c r="P158" s="5" t="str">
        <f aca="true">IF($D158="","",IF($B158="","",IF($K158="Completed",IF($L158="","",$L158-$B158),TODAY()-$B158)))</f>
        <v/>
      </c>
      <c r="Q158" s="5" t="str">
        <f aca="false">IF($D158="","",IF($K158="Completed","",MAX($Q$1:$Q157)+1))</f>
        <v/>
      </c>
      <c r="R158" s="7"/>
    </row>
    <row r="159" customFormat="false" ht="15" hidden="false" customHeight="false" outlineLevel="0" collapsed="false">
      <c r="A159" s="5" t="str">
        <f aca="false">IF($D159="","",ROW()-1)</f>
        <v/>
      </c>
      <c r="B159" s="6"/>
      <c r="C159" s="7"/>
      <c r="D159" s="7"/>
      <c r="E159" s="7"/>
      <c r="F159" s="7"/>
      <c r="G159" s="8"/>
      <c r="H159" s="6"/>
      <c r="I159" s="9"/>
      <c r="J159" s="10"/>
      <c r="K159" s="8"/>
      <c r="L159" s="6"/>
      <c r="M159" s="11" t="str">
        <f aca="true">IF($D159="","",IF($K159="Completed",IF($L159="",$H159,$L159),IF($H159="","",IF($H159&lt;TODAY(),TODAY(),$H159))))</f>
        <v/>
      </c>
      <c r="N159" s="12" t="str">
        <f aca="true">IF($D159="","",IF($K159="Completed","Completed",IF($H159="","No Due Date",IF($H159&lt;TODAY(),"Carried Forward",IF($H159=TODAY(),"Due Today","Upcoming")))))</f>
        <v/>
      </c>
      <c r="O159" s="5" t="str">
        <f aca="true">IF($D159="","",IF($I159="","",IF($K159="Completed","",$I159-TODAY())))</f>
        <v/>
      </c>
      <c r="P159" s="5" t="str">
        <f aca="true">IF($D159="","",IF($B159="","",IF($K159="Completed",IF($L159="","",$L159-$B159),TODAY()-$B159)))</f>
        <v/>
      </c>
      <c r="Q159" s="5" t="str">
        <f aca="false">IF($D159="","",IF($K159="Completed","",MAX($Q$1:$Q158)+1))</f>
        <v/>
      </c>
      <c r="R159" s="7"/>
    </row>
    <row r="160" customFormat="false" ht="15" hidden="false" customHeight="false" outlineLevel="0" collapsed="false">
      <c r="A160" s="5" t="str">
        <f aca="false">IF($D160="","",ROW()-1)</f>
        <v/>
      </c>
      <c r="B160" s="6"/>
      <c r="C160" s="7"/>
      <c r="D160" s="7"/>
      <c r="E160" s="7"/>
      <c r="F160" s="7"/>
      <c r="G160" s="8"/>
      <c r="H160" s="6"/>
      <c r="I160" s="9"/>
      <c r="J160" s="10"/>
      <c r="K160" s="8"/>
      <c r="L160" s="6"/>
      <c r="M160" s="11" t="str">
        <f aca="true">IF($D160="","",IF($K160="Completed",IF($L160="",$H160,$L160),IF($H160="","",IF($H160&lt;TODAY(),TODAY(),$H160))))</f>
        <v/>
      </c>
      <c r="N160" s="12" t="str">
        <f aca="true">IF($D160="","",IF($K160="Completed","Completed",IF($H160="","No Due Date",IF($H160&lt;TODAY(),"Carried Forward",IF($H160=TODAY(),"Due Today","Upcoming")))))</f>
        <v/>
      </c>
      <c r="O160" s="5" t="str">
        <f aca="true">IF($D160="","",IF($I160="","",IF($K160="Completed","",$I160-TODAY())))</f>
        <v/>
      </c>
      <c r="P160" s="5" t="str">
        <f aca="true">IF($D160="","",IF($B160="","",IF($K160="Completed",IF($L160="","",$L160-$B160),TODAY()-$B160)))</f>
        <v/>
      </c>
      <c r="Q160" s="5" t="str">
        <f aca="false">IF($D160="","",IF($K160="Completed","",MAX($Q$1:$Q159)+1))</f>
        <v/>
      </c>
      <c r="R160" s="7"/>
    </row>
    <row r="161" customFormat="false" ht="15" hidden="false" customHeight="false" outlineLevel="0" collapsed="false">
      <c r="A161" s="5" t="str">
        <f aca="false">IF($D161="","",ROW()-1)</f>
        <v/>
      </c>
      <c r="B161" s="6"/>
      <c r="C161" s="7"/>
      <c r="D161" s="7"/>
      <c r="E161" s="7"/>
      <c r="F161" s="7"/>
      <c r="G161" s="8"/>
      <c r="H161" s="6"/>
      <c r="I161" s="9"/>
      <c r="J161" s="10"/>
      <c r="K161" s="8"/>
      <c r="L161" s="6"/>
      <c r="M161" s="11" t="str">
        <f aca="true">IF($D161="","",IF($K161="Completed",IF($L161="",$H161,$L161),IF($H161="","",IF($H161&lt;TODAY(),TODAY(),$H161))))</f>
        <v/>
      </c>
      <c r="N161" s="12" t="str">
        <f aca="true">IF($D161="","",IF($K161="Completed","Completed",IF($H161="","No Due Date",IF($H161&lt;TODAY(),"Carried Forward",IF($H161=TODAY(),"Due Today","Upcoming")))))</f>
        <v/>
      </c>
      <c r="O161" s="5" t="str">
        <f aca="true">IF($D161="","",IF($I161="","",IF($K161="Completed","",$I161-TODAY())))</f>
        <v/>
      </c>
      <c r="P161" s="5" t="str">
        <f aca="true">IF($D161="","",IF($B161="","",IF($K161="Completed",IF($L161="","",$L161-$B161),TODAY()-$B161)))</f>
        <v/>
      </c>
      <c r="Q161" s="5" t="str">
        <f aca="false">IF($D161="","",IF($K161="Completed","",MAX($Q$1:$Q160)+1))</f>
        <v/>
      </c>
      <c r="R161" s="7"/>
    </row>
    <row r="162" customFormat="false" ht="15" hidden="false" customHeight="false" outlineLevel="0" collapsed="false">
      <c r="A162" s="5" t="str">
        <f aca="false">IF($D162="","",ROW()-1)</f>
        <v/>
      </c>
      <c r="B162" s="6"/>
      <c r="C162" s="7"/>
      <c r="D162" s="7"/>
      <c r="E162" s="7"/>
      <c r="F162" s="7"/>
      <c r="G162" s="8"/>
      <c r="H162" s="6"/>
      <c r="I162" s="9"/>
      <c r="J162" s="10"/>
      <c r="K162" s="8"/>
      <c r="L162" s="6"/>
      <c r="M162" s="11" t="str">
        <f aca="true">IF($D162="","",IF($K162="Completed",IF($L162="",$H162,$L162),IF($H162="","",IF($H162&lt;TODAY(),TODAY(),$H162))))</f>
        <v/>
      </c>
      <c r="N162" s="12" t="str">
        <f aca="true">IF($D162="","",IF($K162="Completed","Completed",IF($H162="","No Due Date",IF($H162&lt;TODAY(),"Carried Forward",IF($H162=TODAY(),"Due Today","Upcoming")))))</f>
        <v/>
      </c>
      <c r="O162" s="5" t="str">
        <f aca="true">IF($D162="","",IF($I162="","",IF($K162="Completed","",$I162-TODAY())))</f>
        <v/>
      </c>
      <c r="P162" s="5" t="str">
        <f aca="true">IF($D162="","",IF($B162="","",IF($K162="Completed",IF($L162="","",$L162-$B162),TODAY()-$B162)))</f>
        <v/>
      </c>
      <c r="Q162" s="5" t="str">
        <f aca="false">IF($D162="","",IF($K162="Completed","",MAX($Q$1:$Q161)+1))</f>
        <v/>
      </c>
      <c r="R162" s="7"/>
    </row>
    <row r="163" customFormat="false" ht="15" hidden="false" customHeight="false" outlineLevel="0" collapsed="false">
      <c r="A163" s="5" t="str">
        <f aca="false">IF($D163="","",ROW()-1)</f>
        <v/>
      </c>
      <c r="B163" s="6"/>
      <c r="C163" s="7"/>
      <c r="D163" s="7"/>
      <c r="E163" s="7"/>
      <c r="F163" s="7"/>
      <c r="G163" s="8"/>
      <c r="H163" s="6"/>
      <c r="I163" s="9"/>
      <c r="J163" s="10"/>
      <c r="K163" s="8"/>
      <c r="L163" s="6"/>
      <c r="M163" s="11" t="str">
        <f aca="true">IF($D163="","",IF($K163="Completed",IF($L163="",$H163,$L163),IF($H163="","",IF($H163&lt;TODAY(),TODAY(),$H163))))</f>
        <v/>
      </c>
      <c r="N163" s="12" t="str">
        <f aca="true">IF($D163="","",IF($K163="Completed","Completed",IF($H163="","No Due Date",IF($H163&lt;TODAY(),"Carried Forward",IF($H163=TODAY(),"Due Today","Upcoming")))))</f>
        <v/>
      </c>
      <c r="O163" s="5" t="str">
        <f aca="true">IF($D163="","",IF($I163="","",IF($K163="Completed","",$I163-TODAY())))</f>
        <v/>
      </c>
      <c r="P163" s="5" t="str">
        <f aca="true">IF($D163="","",IF($B163="","",IF($K163="Completed",IF($L163="","",$L163-$B163),TODAY()-$B163)))</f>
        <v/>
      </c>
      <c r="Q163" s="5" t="str">
        <f aca="false">IF($D163="","",IF($K163="Completed","",MAX($Q$1:$Q162)+1))</f>
        <v/>
      </c>
      <c r="R163" s="7"/>
    </row>
    <row r="164" customFormat="false" ht="15" hidden="false" customHeight="false" outlineLevel="0" collapsed="false">
      <c r="A164" s="5" t="str">
        <f aca="false">IF($D164="","",ROW()-1)</f>
        <v/>
      </c>
      <c r="B164" s="6"/>
      <c r="C164" s="7"/>
      <c r="D164" s="7"/>
      <c r="E164" s="7"/>
      <c r="F164" s="7"/>
      <c r="G164" s="8"/>
      <c r="H164" s="6"/>
      <c r="I164" s="9"/>
      <c r="J164" s="10"/>
      <c r="K164" s="8"/>
      <c r="L164" s="6"/>
      <c r="M164" s="11" t="str">
        <f aca="true">IF($D164="","",IF($K164="Completed",IF($L164="",$H164,$L164),IF($H164="","",IF($H164&lt;TODAY(),TODAY(),$H164))))</f>
        <v/>
      </c>
      <c r="N164" s="12" t="str">
        <f aca="true">IF($D164="","",IF($K164="Completed","Completed",IF($H164="","No Due Date",IF($H164&lt;TODAY(),"Carried Forward",IF($H164=TODAY(),"Due Today","Upcoming")))))</f>
        <v/>
      </c>
      <c r="O164" s="5" t="str">
        <f aca="true">IF($D164="","",IF($I164="","",IF($K164="Completed","",$I164-TODAY())))</f>
        <v/>
      </c>
      <c r="P164" s="5" t="str">
        <f aca="true">IF($D164="","",IF($B164="","",IF($K164="Completed",IF($L164="","",$L164-$B164),TODAY()-$B164)))</f>
        <v/>
      </c>
      <c r="Q164" s="5" t="str">
        <f aca="false">IF($D164="","",IF($K164="Completed","",MAX($Q$1:$Q163)+1))</f>
        <v/>
      </c>
      <c r="R164" s="7"/>
    </row>
    <row r="165" customFormat="false" ht="15" hidden="false" customHeight="false" outlineLevel="0" collapsed="false">
      <c r="A165" s="5" t="str">
        <f aca="false">IF($D165="","",ROW()-1)</f>
        <v/>
      </c>
      <c r="B165" s="6"/>
      <c r="C165" s="7"/>
      <c r="D165" s="7"/>
      <c r="E165" s="7"/>
      <c r="F165" s="7"/>
      <c r="G165" s="8"/>
      <c r="H165" s="6"/>
      <c r="I165" s="9"/>
      <c r="J165" s="10"/>
      <c r="K165" s="8"/>
      <c r="L165" s="6"/>
      <c r="M165" s="11" t="str">
        <f aca="true">IF($D165="","",IF($K165="Completed",IF($L165="",$H165,$L165),IF($H165="","",IF($H165&lt;TODAY(),TODAY(),$H165))))</f>
        <v/>
      </c>
      <c r="N165" s="12" t="str">
        <f aca="true">IF($D165="","",IF($K165="Completed","Completed",IF($H165="","No Due Date",IF($H165&lt;TODAY(),"Carried Forward",IF($H165=TODAY(),"Due Today","Upcoming")))))</f>
        <v/>
      </c>
      <c r="O165" s="5" t="str">
        <f aca="true">IF($D165="","",IF($I165="","",IF($K165="Completed","",$I165-TODAY())))</f>
        <v/>
      </c>
      <c r="P165" s="5" t="str">
        <f aca="true">IF($D165="","",IF($B165="","",IF($K165="Completed",IF($L165="","",$L165-$B165),TODAY()-$B165)))</f>
        <v/>
      </c>
      <c r="Q165" s="5" t="str">
        <f aca="false">IF($D165="","",IF($K165="Completed","",MAX($Q$1:$Q164)+1))</f>
        <v/>
      </c>
      <c r="R165" s="7"/>
    </row>
    <row r="166" customFormat="false" ht="15" hidden="false" customHeight="false" outlineLevel="0" collapsed="false">
      <c r="A166" s="5" t="str">
        <f aca="false">IF($D166="","",ROW()-1)</f>
        <v/>
      </c>
      <c r="B166" s="6"/>
      <c r="C166" s="7"/>
      <c r="D166" s="7"/>
      <c r="E166" s="7"/>
      <c r="F166" s="7"/>
      <c r="G166" s="8"/>
      <c r="H166" s="6"/>
      <c r="I166" s="9"/>
      <c r="J166" s="10"/>
      <c r="K166" s="8"/>
      <c r="L166" s="6"/>
      <c r="M166" s="11" t="str">
        <f aca="true">IF($D166="","",IF($K166="Completed",IF($L166="",$H166,$L166),IF($H166="","",IF($H166&lt;TODAY(),TODAY(),$H166))))</f>
        <v/>
      </c>
      <c r="N166" s="12" t="str">
        <f aca="true">IF($D166="","",IF($K166="Completed","Completed",IF($H166="","No Due Date",IF($H166&lt;TODAY(),"Carried Forward",IF($H166=TODAY(),"Due Today","Upcoming")))))</f>
        <v/>
      </c>
      <c r="O166" s="5" t="str">
        <f aca="true">IF($D166="","",IF($I166="","",IF($K166="Completed","",$I166-TODAY())))</f>
        <v/>
      </c>
      <c r="P166" s="5" t="str">
        <f aca="true">IF($D166="","",IF($B166="","",IF($K166="Completed",IF($L166="","",$L166-$B166),TODAY()-$B166)))</f>
        <v/>
      </c>
      <c r="Q166" s="5" t="str">
        <f aca="false">IF($D166="","",IF($K166="Completed","",MAX($Q$1:$Q165)+1))</f>
        <v/>
      </c>
      <c r="R166" s="7"/>
    </row>
    <row r="167" customFormat="false" ht="15" hidden="false" customHeight="false" outlineLevel="0" collapsed="false">
      <c r="A167" s="5" t="str">
        <f aca="false">IF($D167="","",ROW()-1)</f>
        <v/>
      </c>
      <c r="B167" s="6"/>
      <c r="C167" s="7"/>
      <c r="D167" s="7"/>
      <c r="E167" s="7"/>
      <c r="F167" s="7"/>
      <c r="G167" s="8"/>
      <c r="H167" s="6"/>
      <c r="I167" s="9"/>
      <c r="J167" s="10"/>
      <c r="K167" s="8"/>
      <c r="L167" s="6"/>
      <c r="M167" s="11" t="str">
        <f aca="true">IF($D167="","",IF($K167="Completed",IF($L167="",$H167,$L167),IF($H167="","",IF($H167&lt;TODAY(),TODAY(),$H167))))</f>
        <v/>
      </c>
      <c r="N167" s="12" t="str">
        <f aca="true">IF($D167="","",IF($K167="Completed","Completed",IF($H167="","No Due Date",IF($H167&lt;TODAY(),"Carried Forward",IF($H167=TODAY(),"Due Today","Upcoming")))))</f>
        <v/>
      </c>
      <c r="O167" s="5" t="str">
        <f aca="true">IF($D167="","",IF($I167="","",IF($K167="Completed","",$I167-TODAY())))</f>
        <v/>
      </c>
      <c r="P167" s="5" t="str">
        <f aca="true">IF($D167="","",IF($B167="","",IF($K167="Completed",IF($L167="","",$L167-$B167),TODAY()-$B167)))</f>
        <v/>
      </c>
      <c r="Q167" s="5" t="str">
        <f aca="false">IF($D167="","",IF($K167="Completed","",MAX($Q$1:$Q166)+1))</f>
        <v/>
      </c>
      <c r="R167" s="7"/>
    </row>
    <row r="168" customFormat="false" ht="15" hidden="false" customHeight="false" outlineLevel="0" collapsed="false">
      <c r="A168" s="5" t="str">
        <f aca="false">IF($D168="","",ROW()-1)</f>
        <v/>
      </c>
      <c r="B168" s="6"/>
      <c r="C168" s="7"/>
      <c r="D168" s="7"/>
      <c r="E168" s="7"/>
      <c r="F168" s="7"/>
      <c r="G168" s="8"/>
      <c r="H168" s="6"/>
      <c r="I168" s="9"/>
      <c r="J168" s="10"/>
      <c r="K168" s="8"/>
      <c r="L168" s="6"/>
      <c r="M168" s="11" t="str">
        <f aca="true">IF($D168="","",IF($K168="Completed",IF($L168="",$H168,$L168),IF($H168="","",IF($H168&lt;TODAY(),TODAY(),$H168))))</f>
        <v/>
      </c>
      <c r="N168" s="12" t="str">
        <f aca="true">IF($D168="","",IF($K168="Completed","Completed",IF($H168="","No Due Date",IF($H168&lt;TODAY(),"Carried Forward",IF($H168=TODAY(),"Due Today","Upcoming")))))</f>
        <v/>
      </c>
      <c r="O168" s="5" t="str">
        <f aca="true">IF($D168="","",IF($I168="","",IF($K168="Completed","",$I168-TODAY())))</f>
        <v/>
      </c>
      <c r="P168" s="5" t="str">
        <f aca="true">IF($D168="","",IF($B168="","",IF($K168="Completed",IF($L168="","",$L168-$B168),TODAY()-$B168)))</f>
        <v/>
      </c>
      <c r="Q168" s="5" t="str">
        <f aca="false">IF($D168="","",IF($K168="Completed","",MAX($Q$1:$Q167)+1))</f>
        <v/>
      </c>
      <c r="R168" s="7"/>
    </row>
    <row r="169" customFormat="false" ht="15" hidden="false" customHeight="false" outlineLevel="0" collapsed="false">
      <c r="A169" s="5" t="str">
        <f aca="false">IF($D169="","",ROW()-1)</f>
        <v/>
      </c>
      <c r="B169" s="6"/>
      <c r="C169" s="7"/>
      <c r="D169" s="7"/>
      <c r="E169" s="7"/>
      <c r="F169" s="7"/>
      <c r="G169" s="8"/>
      <c r="H169" s="6"/>
      <c r="I169" s="9"/>
      <c r="J169" s="10"/>
      <c r="K169" s="8"/>
      <c r="L169" s="6"/>
      <c r="M169" s="11" t="str">
        <f aca="true">IF($D169="","",IF($K169="Completed",IF($L169="",$H169,$L169),IF($H169="","",IF($H169&lt;TODAY(),TODAY(),$H169))))</f>
        <v/>
      </c>
      <c r="N169" s="12" t="str">
        <f aca="true">IF($D169="","",IF($K169="Completed","Completed",IF($H169="","No Due Date",IF($H169&lt;TODAY(),"Carried Forward",IF($H169=TODAY(),"Due Today","Upcoming")))))</f>
        <v/>
      </c>
      <c r="O169" s="5" t="str">
        <f aca="true">IF($D169="","",IF($I169="","",IF($K169="Completed","",$I169-TODAY())))</f>
        <v/>
      </c>
      <c r="P169" s="5" t="str">
        <f aca="true">IF($D169="","",IF($B169="","",IF($K169="Completed",IF($L169="","",$L169-$B169),TODAY()-$B169)))</f>
        <v/>
      </c>
      <c r="Q169" s="5" t="str">
        <f aca="false">IF($D169="","",IF($K169="Completed","",MAX($Q$1:$Q168)+1))</f>
        <v/>
      </c>
      <c r="R169" s="7"/>
    </row>
    <row r="170" customFormat="false" ht="15" hidden="false" customHeight="false" outlineLevel="0" collapsed="false">
      <c r="A170" s="5" t="str">
        <f aca="false">IF($D170="","",ROW()-1)</f>
        <v/>
      </c>
      <c r="B170" s="6"/>
      <c r="C170" s="7"/>
      <c r="D170" s="7"/>
      <c r="E170" s="7"/>
      <c r="F170" s="7"/>
      <c r="G170" s="8"/>
      <c r="H170" s="6"/>
      <c r="I170" s="9"/>
      <c r="J170" s="10"/>
      <c r="K170" s="8"/>
      <c r="L170" s="6"/>
      <c r="M170" s="11" t="str">
        <f aca="true">IF($D170="","",IF($K170="Completed",IF($L170="",$H170,$L170),IF($H170="","",IF($H170&lt;TODAY(),TODAY(),$H170))))</f>
        <v/>
      </c>
      <c r="N170" s="12" t="str">
        <f aca="true">IF($D170="","",IF($K170="Completed","Completed",IF($H170="","No Due Date",IF($H170&lt;TODAY(),"Carried Forward",IF($H170=TODAY(),"Due Today","Upcoming")))))</f>
        <v/>
      </c>
      <c r="O170" s="5" t="str">
        <f aca="true">IF($D170="","",IF($I170="","",IF($K170="Completed","",$I170-TODAY())))</f>
        <v/>
      </c>
      <c r="P170" s="5" t="str">
        <f aca="true">IF($D170="","",IF($B170="","",IF($K170="Completed",IF($L170="","",$L170-$B170),TODAY()-$B170)))</f>
        <v/>
      </c>
      <c r="Q170" s="5" t="str">
        <f aca="false">IF($D170="","",IF($K170="Completed","",MAX($Q$1:$Q169)+1))</f>
        <v/>
      </c>
      <c r="R170" s="7"/>
    </row>
    <row r="171" customFormat="false" ht="15" hidden="false" customHeight="false" outlineLevel="0" collapsed="false">
      <c r="A171" s="5" t="str">
        <f aca="false">IF($D171="","",ROW()-1)</f>
        <v/>
      </c>
      <c r="B171" s="6"/>
      <c r="C171" s="7"/>
      <c r="D171" s="7"/>
      <c r="E171" s="7"/>
      <c r="F171" s="7"/>
      <c r="G171" s="8"/>
      <c r="H171" s="6"/>
      <c r="I171" s="9"/>
      <c r="J171" s="10"/>
      <c r="K171" s="8"/>
      <c r="L171" s="6"/>
      <c r="M171" s="11" t="str">
        <f aca="true">IF($D171="","",IF($K171="Completed",IF($L171="",$H171,$L171),IF($H171="","",IF($H171&lt;TODAY(),TODAY(),$H171))))</f>
        <v/>
      </c>
      <c r="N171" s="12" t="str">
        <f aca="true">IF($D171="","",IF($K171="Completed","Completed",IF($H171="","No Due Date",IF($H171&lt;TODAY(),"Carried Forward",IF($H171=TODAY(),"Due Today","Upcoming")))))</f>
        <v/>
      </c>
      <c r="O171" s="5" t="str">
        <f aca="true">IF($D171="","",IF($I171="","",IF($K171="Completed","",$I171-TODAY())))</f>
        <v/>
      </c>
      <c r="P171" s="5" t="str">
        <f aca="true">IF($D171="","",IF($B171="","",IF($K171="Completed",IF($L171="","",$L171-$B171),TODAY()-$B171)))</f>
        <v/>
      </c>
      <c r="Q171" s="5" t="str">
        <f aca="false">IF($D171="","",IF($K171="Completed","",MAX($Q$1:$Q170)+1))</f>
        <v/>
      </c>
      <c r="R171" s="7"/>
    </row>
    <row r="172" customFormat="false" ht="15" hidden="false" customHeight="false" outlineLevel="0" collapsed="false">
      <c r="A172" s="5" t="str">
        <f aca="false">IF($D172="","",ROW()-1)</f>
        <v/>
      </c>
      <c r="B172" s="6"/>
      <c r="C172" s="7"/>
      <c r="D172" s="7"/>
      <c r="E172" s="7"/>
      <c r="F172" s="7"/>
      <c r="G172" s="8"/>
      <c r="H172" s="6"/>
      <c r="I172" s="9"/>
      <c r="J172" s="10"/>
      <c r="K172" s="8"/>
      <c r="L172" s="6"/>
      <c r="M172" s="11" t="str">
        <f aca="true">IF($D172="","",IF($K172="Completed",IF($L172="",$H172,$L172),IF($H172="","",IF($H172&lt;TODAY(),TODAY(),$H172))))</f>
        <v/>
      </c>
      <c r="N172" s="12" t="str">
        <f aca="true">IF($D172="","",IF($K172="Completed","Completed",IF($H172="","No Due Date",IF($H172&lt;TODAY(),"Carried Forward",IF($H172=TODAY(),"Due Today","Upcoming")))))</f>
        <v/>
      </c>
      <c r="O172" s="5" t="str">
        <f aca="true">IF($D172="","",IF($I172="","",IF($K172="Completed","",$I172-TODAY())))</f>
        <v/>
      </c>
      <c r="P172" s="5" t="str">
        <f aca="true">IF($D172="","",IF($B172="","",IF($K172="Completed",IF($L172="","",$L172-$B172),TODAY()-$B172)))</f>
        <v/>
      </c>
      <c r="Q172" s="5" t="str">
        <f aca="false">IF($D172="","",IF($K172="Completed","",MAX($Q$1:$Q171)+1))</f>
        <v/>
      </c>
      <c r="R172" s="7"/>
    </row>
    <row r="173" customFormat="false" ht="15" hidden="false" customHeight="false" outlineLevel="0" collapsed="false">
      <c r="A173" s="5" t="str">
        <f aca="false">IF($D173="","",ROW()-1)</f>
        <v/>
      </c>
      <c r="B173" s="6"/>
      <c r="C173" s="7"/>
      <c r="D173" s="7"/>
      <c r="E173" s="7"/>
      <c r="F173" s="7"/>
      <c r="G173" s="8"/>
      <c r="H173" s="6"/>
      <c r="I173" s="9"/>
      <c r="J173" s="10"/>
      <c r="K173" s="8"/>
      <c r="L173" s="6"/>
      <c r="M173" s="11" t="str">
        <f aca="true">IF($D173="","",IF($K173="Completed",IF($L173="",$H173,$L173),IF($H173="","",IF($H173&lt;TODAY(),TODAY(),$H173))))</f>
        <v/>
      </c>
      <c r="N173" s="12" t="str">
        <f aca="true">IF($D173="","",IF($K173="Completed","Completed",IF($H173="","No Due Date",IF($H173&lt;TODAY(),"Carried Forward",IF($H173=TODAY(),"Due Today","Upcoming")))))</f>
        <v/>
      </c>
      <c r="O173" s="5" t="str">
        <f aca="true">IF($D173="","",IF($I173="","",IF($K173="Completed","",$I173-TODAY())))</f>
        <v/>
      </c>
      <c r="P173" s="5" t="str">
        <f aca="true">IF($D173="","",IF($B173="","",IF($K173="Completed",IF($L173="","",$L173-$B173),TODAY()-$B173)))</f>
        <v/>
      </c>
      <c r="Q173" s="5" t="str">
        <f aca="false">IF($D173="","",IF($K173="Completed","",MAX($Q$1:$Q172)+1))</f>
        <v/>
      </c>
      <c r="R173" s="7"/>
    </row>
    <row r="174" customFormat="false" ht="15" hidden="false" customHeight="false" outlineLevel="0" collapsed="false">
      <c r="A174" s="5" t="str">
        <f aca="false">IF($D174="","",ROW()-1)</f>
        <v/>
      </c>
      <c r="B174" s="6"/>
      <c r="C174" s="7"/>
      <c r="D174" s="7"/>
      <c r="E174" s="7"/>
      <c r="F174" s="7"/>
      <c r="G174" s="8"/>
      <c r="H174" s="6"/>
      <c r="I174" s="9"/>
      <c r="J174" s="10"/>
      <c r="K174" s="8"/>
      <c r="L174" s="6"/>
      <c r="M174" s="11" t="str">
        <f aca="true">IF($D174="","",IF($K174="Completed",IF($L174="",$H174,$L174),IF($H174="","",IF($H174&lt;TODAY(),TODAY(),$H174))))</f>
        <v/>
      </c>
      <c r="N174" s="12" t="str">
        <f aca="true">IF($D174="","",IF($K174="Completed","Completed",IF($H174="","No Due Date",IF($H174&lt;TODAY(),"Carried Forward",IF($H174=TODAY(),"Due Today","Upcoming")))))</f>
        <v/>
      </c>
      <c r="O174" s="5" t="str">
        <f aca="true">IF($D174="","",IF($I174="","",IF($K174="Completed","",$I174-TODAY())))</f>
        <v/>
      </c>
      <c r="P174" s="5" t="str">
        <f aca="true">IF($D174="","",IF($B174="","",IF($K174="Completed",IF($L174="","",$L174-$B174),TODAY()-$B174)))</f>
        <v/>
      </c>
      <c r="Q174" s="5" t="str">
        <f aca="false">IF($D174="","",IF($K174="Completed","",MAX($Q$1:$Q173)+1))</f>
        <v/>
      </c>
      <c r="R174" s="7"/>
    </row>
    <row r="175" customFormat="false" ht="15" hidden="false" customHeight="false" outlineLevel="0" collapsed="false">
      <c r="A175" s="5" t="str">
        <f aca="false">IF($D175="","",ROW()-1)</f>
        <v/>
      </c>
      <c r="B175" s="6"/>
      <c r="C175" s="7"/>
      <c r="D175" s="7"/>
      <c r="E175" s="7"/>
      <c r="F175" s="7"/>
      <c r="G175" s="8"/>
      <c r="H175" s="6"/>
      <c r="I175" s="9"/>
      <c r="J175" s="10"/>
      <c r="K175" s="8"/>
      <c r="L175" s="6"/>
      <c r="M175" s="11" t="str">
        <f aca="true">IF($D175="","",IF($K175="Completed",IF($L175="",$H175,$L175),IF($H175="","",IF($H175&lt;TODAY(),TODAY(),$H175))))</f>
        <v/>
      </c>
      <c r="N175" s="12" t="str">
        <f aca="true">IF($D175="","",IF($K175="Completed","Completed",IF($H175="","No Due Date",IF($H175&lt;TODAY(),"Carried Forward",IF($H175=TODAY(),"Due Today","Upcoming")))))</f>
        <v/>
      </c>
      <c r="O175" s="5" t="str">
        <f aca="true">IF($D175="","",IF($I175="","",IF($K175="Completed","",$I175-TODAY())))</f>
        <v/>
      </c>
      <c r="P175" s="5" t="str">
        <f aca="true">IF($D175="","",IF($B175="","",IF($K175="Completed",IF($L175="","",$L175-$B175),TODAY()-$B175)))</f>
        <v/>
      </c>
      <c r="Q175" s="5" t="str">
        <f aca="false">IF($D175="","",IF($K175="Completed","",MAX($Q$1:$Q174)+1))</f>
        <v/>
      </c>
      <c r="R175" s="7"/>
    </row>
    <row r="176" customFormat="false" ht="15" hidden="false" customHeight="false" outlineLevel="0" collapsed="false">
      <c r="A176" s="5" t="str">
        <f aca="false">IF($D176="","",ROW()-1)</f>
        <v/>
      </c>
      <c r="B176" s="6"/>
      <c r="C176" s="7"/>
      <c r="D176" s="7"/>
      <c r="E176" s="7"/>
      <c r="F176" s="7"/>
      <c r="G176" s="8"/>
      <c r="H176" s="6"/>
      <c r="I176" s="9"/>
      <c r="J176" s="10"/>
      <c r="K176" s="8"/>
      <c r="L176" s="6"/>
      <c r="M176" s="11" t="str">
        <f aca="true">IF($D176="","",IF($K176="Completed",IF($L176="",$H176,$L176),IF($H176="","",IF($H176&lt;TODAY(),TODAY(),$H176))))</f>
        <v/>
      </c>
      <c r="N176" s="12" t="str">
        <f aca="true">IF($D176="","",IF($K176="Completed","Completed",IF($H176="","No Due Date",IF($H176&lt;TODAY(),"Carried Forward",IF($H176=TODAY(),"Due Today","Upcoming")))))</f>
        <v/>
      </c>
      <c r="O176" s="5" t="str">
        <f aca="true">IF($D176="","",IF($I176="","",IF($K176="Completed","",$I176-TODAY())))</f>
        <v/>
      </c>
      <c r="P176" s="5" t="str">
        <f aca="true">IF($D176="","",IF($B176="","",IF($K176="Completed",IF($L176="","",$L176-$B176),TODAY()-$B176)))</f>
        <v/>
      </c>
      <c r="Q176" s="5" t="str">
        <f aca="false">IF($D176="","",IF($K176="Completed","",MAX($Q$1:$Q175)+1))</f>
        <v/>
      </c>
      <c r="R176" s="7"/>
    </row>
    <row r="177" customFormat="false" ht="15" hidden="false" customHeight="false" outlineLevel="0" collapsed="false">
      <c r="A177" s="5" t="str">
        <f aca="false">IF($D177="","",ROW()-1)</f>
        <v/>
      </c>
      <c r="B177" s="6"/>
      <c r="C177" s="7"/>
      <c r="D177" s="7"/>
      <c r="E177" s="7"/>
      <c r="F177" s="7"/>
      <c r="G177" s="8"/>
      <c r="H177" s="6"/>
      <c r="I177" s="9"/>
      <c r="J177" s="10"/>
      <c r="K177" s="8"/>
      <c r="L177" s="6"/>
      <c r="M177" s="11" t="str">
        <f aca="true">IF($D177="","",IF($K177="Completed",IF($L177="",$H177,$L177),IF($H177="","",IF($H177&lt;TODAY(),TODAY(),$H177))))</f>
        <v/>
      </c>
      <c r="N177" s="12" t="str">
        <f aca="true">IF($D177="","",IF($K177="Completed","Completed",IF($H177="","No Due Date",IF($H177&lt;TODAY(),"Carried Forward",IF($H177=TODAY(),"Due Today","Upcoming")))))</f>
        <v/>
      </c>
      <c r="O177" s="5" t="str">
        <f aca="true">IF($D177="","",IF($I177="","",IF($K177="Completed","",$I177-TODAY())))</f>
        <v/>
      </c>
      <c r="P177" s="5" t="str">
        <f aca="true">IF($D177="","",IF($B177="","",IF($K177="Completed",IF($L177="","",$L177-$B177),TODAY()-$B177)))</f>
        <v/>
      </c>
      <c r="Q177" s="5" t="str">
        <f aca="false">IF($D177="","",IF($K177="Completed","",MAX($Q$1:$Q176)+1))</f>
        <v/>
      </c>
      <c r="R177" s="7"/>
    </row>
    <row r="178" customFormat="false" ht="15" hidden="false" customHeight="false" outlineLevel="0" collapsed="false">
      <c r="A178" s="5" t="str">
        <f aca="false">IF($D178="","",ROW()-1)</f>
        <v/>
      </c>
      <c r="B178" s="6"/>
      <c r="C178" s="7"/>
      <c r="D178" s="7"/>
      <c r="E178" s="7"/>
      <c r="F178" s="7"/>
      <c r="G178" s="8"/>
      <c r="H178" s="6"/>
      <c r="I178" s="9"/>
      <c r="J178" s="10"/>
      <c r="K178" s="8"/>
      <c r="L178" s="6"/>
      <c r="M178" s="11" t="str">
        <f aca="true">IF($D178="","",IF($K178="Completed",IF($L178="",$H178,$L178),IF($H178="","",IF($H178&lt;TODAY(),TODAY(),$H178))))</f>
        <v/>
      </c>
      <c r="N178" s="12" t="str">
        <f aca="true">IF($D178="","",IF($K178="Completed","Completed",IF($H178="","No Due Date",IF($H178&lt;TODAY(),"Carried Forward",IF($H178=TODAY(),"Due Today","Upcoming")))))</f>
        <v/>
      </c>
      <c r="O178" s="5" t="str">
        <f aca="true">IF($D178="","",IF($I178="","",IF($K178="Completed","",$I178-TODAY())))</f>
        <v/>
      </c>
      <c r="P178" s="5" t="str">
        <f aca="true">IF($D178="","",IF($B178="","",IF($K178="Completed",IF($L178="","",$L178-$B178),TODAY()-$B178)))</f>
        <v/>
      </c>
      <c r="Q178" s="5" t="str">
        <f aca="false">IF($D178="","",IF($K178="Completed","",MAX($Q$1:$Q177)+1))</f>
        <v/>
      </c>
      <c r="R178" s="7"/>
    </row>
    <row r="179" customFormat="false" ht="15" hidden="false" customHeight="false" outlineLevel="0" collapsed="false">
      <c r="A179" s="5" t="str">
        <f aca="false">IF($D179="","",ROW()-1)</f>
        <v/>
      </c>
      <c r="B179" s="6"/>
      <c r="C179" s="7"/>
      <c r="D179" s="7"/>
      <c r="E179" s="7"/>
      <c r="F179" s="7"/>
      <c r="G179" s="8"/>
      <c r="H179" s="6"/>
      <c r="I179" s="9"/>
      <c r="J179" s="10"/>
      <c r="K179" s="8"/>
      <c r="L179" s="6"/>
      <c r="M179" s="11" t="str">
        <f aca="true">IF($D179="","",IF($K179="Completed",IF($L179="",$H179,$L179),IF($H179="","",IF($H179&lt;TODAY(),TODAY(),$H179))))</f>
        <v/>
      </c>
      <c r="N179" s="12" t="str">
        <f aca="true">IF($D179="","",IF($K179="Completed","Completed",IF($H179="","No Due Date",IF($H179&lt;TODAY(),"Carried Forward",IF($H179=TODAY(),"Due Today","Upcoming")))))</f>
        <v/>
      </c>
      <c r="O179" s="5" t="str">
        <f aca="true">IF($D179="","",IF($I179="","",IF($K179="Completed","",$I179-TODAY())))</f>
        <v/>
      </c>
      <c r="P179" s="5" t="str">
        <f aca="true">IF($D179="","",IF($B179="","",IF($K179="Completed",IF($L179="","",$L179-$B179),TODAY()-$B179)))</f>
        <v/>
      </c>
      <c r="Q179" s="5" t="str">
        <f aca="false">IF($D179="","",IF($K179="Completed","",MAX($Q$1:$Q178)+1))</f>
        <v/>
      </c>
      <c r="R179" s="7"/>
    </row>
    <row r="180" customFormat="false" ht="15" hidden="false" customHeight="false" outlineLevel="0" collapsed="false">
      <c r="A180" s="5" t="str">
        <f aca="false">IF($D180="","",ROW()-1)</f>
        <v/>
      </c>
      <c r="B180" s="6"/>
      <c r="C180" s="7"/>
      <c r="D180" s="7"/>
      <c r="E180" s="7"/>
      <c r="F180" s="7"/>
      <c r="G180" s="8"/>
      <c r="H180" s="6"/>
      <c r="I180" s="9"/>
      <c r="J180" s="10"/>
      <c r="K180" s="8"/>
      <c r="L180" s="6"/>
      <c r="M180" s="11" t="str">
        <f aca="true">IF($D180="","",IF($K180="Completed",IF($L180="",$H180,$L180),IF($H180="","",IF($H180&lt;TODAY(),TODAY(),$H180))))</f>
        <v/>
      </c>
      <c r="N180" s="12" t="str">
        <f aca="true">IF($D180="","",IF($K180="Completed","Completed",IF($H180="","No Due Date",IF($H180&lt;TODAY(),"Carried Forward",IF($H180=TODAY(),"Due Today","Upcoming")))))</f>
        <v/>
      </c>
      <c r="O180" s="5" t="str">
        <f aca="true">IF($D180="","",IF($I180="","",IF($K180="Completed","",$I180-TODAY())))</f>
        <v/>
      </c>
      <c r="P180" s="5" t="str">
        <f aca="true">IF($D180="","",IF($B180="","",IF($K180="Completed",IF($L180="","",$L180-$B180),TODAY()-$B180)))</f>
        <v/>
      </c>
      <c r="Q180" s="5" t="str">
        <f aca="false">IF($D180="","",IF($K180="Completed","",MAX($Q$1:$Q179)+1))</f>
        <v/>
      </c>
      <c r="R180" s="7"/>
    </row>
    <row r="181" customFormat="false" ht="15" hidden="false" customHeight="false" outlineLevel="0" collapsed="false">
      <c r="A181" s="5" t="str">
        <f aca="false">IF($D181="","",ROW()-1)</f>
        <v/>
      </c>
      <c r="B181" s="6"/>
      <c r="C181" s="7"/>
      <c r="D181" s="7"/>
      <c r="E181" s="7"/>
      <c r="F181" s="7"/>
      <c r="G181" s="8"/>
      <c r="H181" s="6"/>
      <c r="I181" s="9"/>
      <c r="J181" s="10"/>
      <c r="K181" s="8"/>
      <c r="L181" s="6"/>
      <c r="M181" s="11" t="str">
        <f aca="true">IF($D181="","",IF($K181="Completed",IF($L181="",$H181,$L181),IF($H181="","",IF($H181&lt;TODAY(),TODAY(),$H181))))</f>
        <v/>
      </c>
      <c r="N181" s="12" t="str">
        <f aca="true">IF($D181="","",IF($K181="Completed","Completed",IF($H181="","No Due Date",IF($H181&lt;TODAY(),"Carried Forward",IF($H181=TODAY(),"Due Today","Upcoming")))))</f>
        <v/>
      </c>
      <c r="O181" s="5" t="str">
        <f aca="true">IF($D181="","",IF($I181="","",IF($K181="Completed","",$I181-TODAY())))</f>
        <v/>
      </c>
      <c r="P181" s="5" t="str">
        <f aca="true">IF($D181="","",IF($B181="","",IF($K181="Completed",IF($L181="","",$L181-$B181),TODAY()-$B181)))</f>
        <v/>
      </c>
      <c r="Q181" s="5" t="str">
        <f aca="false">IF($D181="","",IF($K181="Completed","",MAX($Q$1:$Q180)+1))</f>
        <v/>
      </c>
      <c r="R181" s="7"/>
    </row>
    <row r="182" customFormat="false" ht="15" hidden="false" customHeight="false" outlineLevel="0" collapsed="false">
      <c r="A182" s="5" t="str">
        <f aca="false">IF($D182="","",ROW()-1)</f>
        <v/>
      </c>
      <c r="B182" s="6"/>
      <c r="C182" s="7"/>
      <c r="D182" s="7"/>
      <c r="E182" s="7"/>
      <c r="F182" s="7"/>
      <c r="G182" s="8"/>
      <c r="H182" s="6"/>
      <c r="I182" s="9"/>
      <c r="J182" s="10"/>
      <c r="K182" s="8"/>
      <c r="L182" s="6"/>
      <c r="M182" s="11" t="str">
        <f aca="true">IF($D182="","",IF($K182="Completed",IF($L182="",$H182,$L182),IF($H182="","",IF($H182&lt;TODAY(),TODAY(),$H182))))</f>
        <v/>
      </c>
      <c r="N182" s="12" t="str">
        <f aca="true">IF($D182="","",IF($K182="Completed","Completed",IF($H182="","No Due Date",IF($H182&lt;TODAY(),"Carried Forward",IF($H182=TODAY(),"Due Today","Upcoming")))))</f>
        <v/>
      </c>
      <c r="O182" s="5" t="str">
        <f aca="true">IF($D182="","",IF($I182="","",IF($K182="Completed","",$I182-TODAY())))</f>
        <v/>
      </c>
      <c r="P182" s="5" t="str">
        <f aca="true">IF($D182="","",IF($B182="","",IF($K182="Completed",IF($L182="","",$L182-$B182),TODAY()-$B182)))</f>
        <v/>
      </c>
      <c r="Q182" s="5" t="str">
        <f aca="false">IF($D182="","",IF($K182="Completed","",MAX($Q$1:$Q181)+1))</f>
        <v/>
      </c>
      <c r="R182" s="7"/>
    </row>
    <row r="183" customFormat="false" ht="15" hidden="false" customHeight="false" outlineLevel="0" collapsed="false">
      <c r="A183" s="5" t="str">
        <f aca="false">IF($D183="","",ROW()-1)</f>
        <v/>
      </c>
      <c r="B183" s="6"/>
      <c r="C183" s="7"/>
      <c r="D183" s="7"/>
      <c r="E183" s="7"/>
      <c r="F183" s="7"/>
      <c r="G183" s="8"/>
      <c r="H183" s="6"/>
      <c r="I183" s="9"/>
      <c r="J183" s="10"/>
      <c r="K183" s="8"/>
      <c r="L183" s="6"/>
      <c r="M183" s="11" t="str">
        <f aca="true">IF($D183="","",IF($K183="Completed",IF($L183="",$H183,$L183),IF($H183="","",IF($H183&lt;TODAY(),TODAY(),$H183))))</f>
        <v/>
      </c>
      <c r="N183" s="12" t="str">
        <f aca="true">IF($D183="","",IF($K183="Completed","Completed",IF($H183="","No Due Date",IF($H183&lt;TODAY(),"Carried Forward",IF($H183=TODAY(),"Due Today","Upcoming")))))</f>
        <v/>
      </c>
      <c r="O183" s="5" t="str">
        <f aca="true">IF($D183="","",IF($I183="","",IF($K183="Completed","",$I183-TODAY())))</f>
        <v/>
      </c>
      <c r="P183" s="5" t="str">
        <f aca="true">IF($D183="","",IF($B183="","",IF($K183="Completed",IF($L183="","",$L183-$B183),TODAY()-$B183)))</f>
        <v/>
      </c>
      <c r="Q183" s="5" t="str">
        <f aca="false">IF($D183="","",IF($K183="Completed","",MAX($Q$1:$Q182)+1))</f>
        <v/>
      </c>
      <c r="R183" s="7"/>
    </row>
    <row r="184" customFormat="false" ht="15" hidden="false" customHeight="false" outlineLevel="0" collapsed="false">
      <c r="A184" s="5" t="str">
        <f aca="false">IF($D184="","",ROW()-1)</f>
        <v/>
      </c>
      <c r="B184" s="6"/>
      <c r="C184" s="7"/>
      <c r="D184" s="7"/>
      <c r="E184" s="7"/>
      <c r="F184" s="7"/>
      <c r="G184" s="8"/>
      <c r="H184" s="6"/>
      <c r="I184" s="9"/>
      <c r="J184" s="10"/>
      <c r="K184" s="8"/>
      <c r="L184" s="6"/>
      <c r="M184" s="11" t="str">
        <f aca="true">IF($D184="","",IF($K184="Completed",IF($L184="",$H184,$L184),IF($H184="","",IF($H184&lt;TODAY(),TODAY(),$H184))))</f>
        <v/>
      </c>
      <c r="N184" s="12" t="str">
        <f aca="true">IF($D184="","",IF($K184="Completed","Completed",IF($H184="","No Due Date",IF($H184&lt;TODAY(),"Carried Forward",IF($H184=TODAY(),"Due Today","Upcoming")))))</f>
        <v/>
      </c>
      <c r="O184" s="5" t="str">
        <f aca="true">IF($D184="","",IF($I184="","",IF($K184="Completed","",$I184-TODAY())))</f>
        <v/>
      </c>
      <c r="P184" s="5" t="str">
        <f aca="true">IF($D184="","",IF($B184="","",IF($K184="Completed",IF($L184="","",$L184-$B184),TODAY()-$B184)))</f>
        <v/>
      </c>
      <c r="Q184" s="5" t="str">
        <f aca="false">IF($D184="","",IF($K184="Completed","",MAX($Q$1:$Q183)+1))</f>
        <v/>
      </c>
      <c r="R184" s="7"/>
    </row>
    <row r="185" customFormat="false" ht="15" hidden="false" customHeight="false" outlineLevel="0" collapsed="false">
      <c r="A185" s="5" t="str">
        <f aca="false">IF($D185="","",ROW()-1)</f>
        <v/>
      </c>
      <c r="B185" s="6"/>
      <c r="C185" s="7"/>
      <c r="D185" s="7"/>
      <c r="E185" s="7"/>
      <c r="F185" s="7"/>
      <c r="G185" s="8"/>
      <c r="H185" s="6"/>
      <c r="I185" s="9"/>
      <c r="J185" s="10"/>
      <c r="K185" s="8"/>
      <c r="L185" s="6"/>
      <c r="M185" s="11" t="str">
        <f aca="true">IF($D185="","",IF($K185="Completed",IF($L185="",$H185,$L185),IF($H185="","",IF($H185&lt;TODAY(),TODAY(),$H185))))</f>
        <v/>
      </c>
      <c r="N185" s="12" t="str">
        <f aca="true">IF($D185="","",IF($K185="Completed","Completed",IF($H185="","No Due Date",IF($H185&lt;TODAY(),"Carried Forward",IF($H185=TODAY(),"Due Today","Upcoming")))))</f>
        <v/>
      </c>
      <c r="O185" s="5" t="str">
        <f aca="true">IF($D185="","",IF($I185="","",IF($K185="Completed","",$I185-TODAY())))</f>
        <v/>
      </c>
      <c r="P185" s="5" t="str">
        <f aca="true">IF($D185="","",IF($B185="","",IF($K185="Completed",IF($L185="","",$L185-$B185),TODAY()-$B185)))</f>
        <v/>
      </c>
      <c r="Q185" s="5" t="str">
        <f aca="false">IF($D185="","",IF($K185="Completed","",MAX($Q$1:$Q184)+1))</f>
        <v/>
      </c>
      <c r="R185" s="7"/>
    </row>
    <row r="186" customFormat="false" ht="15" hidden="false" customHeight="false" outlineLevel="0" collapsed="false">
      <c r="A186" s="5" t="str">
        <f aca="false">IF($D186="","",ROW()-1)</f>
        <v/>
      </c>
      <c r="B186" s="6"/>
      <c r="C186" s="7"/>
      <c r="D186" s="7"/>
      <c r="E186" s="7"/>
      <c r="F186" s="7"/>
      <c r="G186" s="8"/>
      <c r="H186" s="6"/>
      <c r="I186" s="9"/>
      <c r="J186" s="10"/>
      <c r="K186" s="8"/>
      <c r="L186" s="6"/>
      <c r="M186" s="11" t="str">
        <f aca="true">IF($D186="","",IF($K186="Completed",IF($L186="",$H186,$L186),IF($H186="","",IF($H186&lt;TODAY(),TODAY(),$H186))))</f>
        <v/>
      </c>
      <c r="N186" s="12" t="str">
        <f aca="true">IF($D186="","",IF($K186="Completed","Completed",IF($H186="","No Due Date",IF($H186&lt;TODAY(),"Carried Forward",IF($H186=TODAY(),"Due Today","Upcoming")))))</f>
        <v/>
      </c>
      <c r="O186" s="5" t="str">
        <f aca="true">IF($D186="","",IF($I186="","",IF($K186="Completed","",$I186-TODAY())))</f>
        <v/>
      </c>
      <c r="P186" s="5" t="str">
        <f aca="true">IF($D186="","",IF($B186="","",IF($K186="Completed",IF($L186="","",$L186-$B186),TODAY()-$B186)))</f>
        <v/>
      </c>
      <c r="Q186" s="5" t="str">
        <f aca="false">IF($D186="","",IF($K186="Completed","",MAX($Q$1:$Q185)+1))</f>
        <v/>
      </c>
      <c r="R186" s="7"/>
    </row>
    <row r="187" customFormat="false" ht="15" hidden="false" customHeight="false" outlineLevel="0" collapsed="false">
      <c r="A187" s="5" t="str">
        <f aca="false">IF($D187="","",ROW()-1)</f>
        <v/>
      </c>
      <c r="B187" s="6"/>
      <c r="C187" s="7"/>
      <c r="D187" s="7"/>
      <c r="E187" s="7"/>
      <c r="F187" s="7"/>
      <c r="G187" s="8"/>
      <c r="H187" s="6"/>
      <c r="I187" s="9"/>
      <c r="J187" s="10"/>
      <c r="K187" s="8"/>
      <c r="L187" s="6"/>
      <c r="M187" s="11" t="str">
        <f aca="true">IF($D187="","",IF($K187="Completed",IF($L187="",$H187,$L187),IF($H187="","",IF($H187&lt;TODAY(),TODAY(),$H187))))</f>
        <v/>
      </c>
      <c r="N187" s="12" t="str">
        <f aca="true">IF($D187="","",IF($K187="Completed","Completed",IF($H187="","No Due Date",IF($H187&lt;TODAY(),"Carried Forward",IF($H187=TODAY(),"Due Today","Upcoming")))))</f>
        <v/>
      </c>
      <c r="O187" s="5" t="str">
        <f aca="true">IF($D187="","",IF($I187="","",IF($K187="Completed","",$I187-TODAY())))</f>
        <v/>
      </c>
      <c r="P187" s="5" t="str">
        <f aca="true">IF($D187="","",IF($B187="","",IF($K187="Completed",IF($L187="","",$L187-$B187),TODAY()-$B187)))</f>
        <v/>
      </c>
      <c r="Q187" s="5" t="str">
        <f aca="false">IF($D187="","",IF($K187="Completed","",MAX($Q$1:$Q186)+1))</f>
        <v/>
      </c>
      <c r="R187" s="7"/>
    </row>
    <row r="188" customFormat="false" ht="15" hidden="false" customHeight="false" outlineLevel="0" collapsed="false">
      <c r="A188" s="5" t="str">
        <f aca="false">IF($D188="","",ROW()-1)</f>
        <v/>
      </c>
      <c r="B188" s="6"/>
      <c r="C188" s="7"/>
      <c r="D188" s="7"/>
      <c r="E188" s="7"/>
      <c r="F188" s="7"/>
      <c r="G188" s="8"/>
      <c r="H188" s="6"/>
      <c r="I188" s="9"/>
      <c r="J188" s="10"/>
      <c r="K188" s="8"/>
      <c r="L188" s="6"/>
      <c r="M188" s="11" t="str">
        <f aca="true">IF($D188="","",IF($K188="Completed",IF($L188="",$H188,$L188),IF($H188="","",IF($H188&lt;TODAY(),TODAY(),$H188))))</f>
        <v/>
      </c>
      <c r="N188" s="12" t="str">
        <f aca="true">IF($D188="","",IF($K188="Completed","Completed",IF($H188="","No Due Date",IF($H188&lt;TODAY(),"Carried Forward",IF($H188=TODAY(),"Due Today","Upcoming")))))</f>
        <v/>
      </c>
      <c r="O188" s="5" t="str">
        <f aca="true">IF($D188="","",IF($I188="","",IF($K188="Completed","",$I188-TODAY())))</f>
        <v/>
      </c>
      <c r="P188" s="5" t="str">
        <f aca="true">IF($D188="","",IF($B188="","",IF($K188="Completed",IF($L188="","",$L188-$B188),TODAY()-$B188)))</f>
        <v/>
      </c>
      <c r="Q188" s="5" t="str">
        <f aca="false">IF($D188="","",IF($K188="Completed","",MAX($Q$1:$Q187)+1))</f>
        <v/>
      </c>
      <c r="R188" s="7"/>
    </row>
    <row r="189" customFormat="false" ht="15" hidden="false" customHeight="false" outlineLevel="0" collapsed="false">
      <c r="A189" s="5" t="str">
        <f aca="false">IF($D189="","",ROW()-1)</f>
        <v/>
      </c>
      <c r="B189" s="6"/>
      <c r="C189" s="7"/>
      <c r="D189" s="7"/>
      <c r="E189" s="7"/>
      <c r="F189" s="7"/>
      <c r="G189" s="8"/>
      <c r="H189" s="6"/>
      <c r="I189" s="9"/>
      <c r="J189" s="10"/>
      <c r="K189" s="8"/>
      <c r="L189" s="6"/>
      <c r="M189" s="11" t="str">
        <f aca="true">IF($D189="","",IF($K189="Completed",IF($L189="",$H189,$L189),IF($H189="","",IF($H189&lt;TODAY(),TODAY(),$H189))))</f>
        <v/>
      </c>
      <c r="N189" s="12" t="str">
        <f aca="true">IF($D189="","",IF($K189="Completed","Completed",IF($H189="","No Due Date",IF($H189&lt;TODAY(),"Carried Forward",IF($H189=TODAY(),"Due Today","Upcoming")))))</f>
        <v/>
      </c>
      <c r="O189" s="5" t="str">
        <f aca="true">IF($D189="","",IF($I189="","",IF($K189="Completed","",$I189-TODAY())))</f>
        <v/>
      </c>
      <c r="P189" s="5" t="str">
        <f aca="true">IF($D189="","",IF($B189="","",IF($K189="Completed",IF($L189="","",$L189-$B189),TODAY()-$B189)))</f>
        <v/>
      </c>
      <c r="Q189" s="5" t="str">
        <f aca="false">IF($D189="","",IF($K189="Completed","",MAX($Q$1:$Q188)+1))</f>
        <v/>
      </c>
      <c r="R189" s="7"/>
    </row>
    <row r="190" customFormat="false" ht="15" hidden="false" customHeight="false" outlineLevel="0" collapsed="false">
      <c r="A190" s="5" t="str">
        <f aca="false">IF($D190="","",ROW()-1)</f>
        <v/>
      </c>
      <c r="B190" s="6"/>
      <c r="C190" s="7"/>
      <c r="D190" s="7"/>
      <c r="E190" s="7"/>
      <c r="F190" s="7"/>
      <c r="G190" s="8"/>
      <c r="H190" s="6"/>
      <c r="I190" s="9"/>
      <c r="J190" s="10"/>
      <c r="K190" s="8"/>
      <c r="L190" s="6"/>
      <c r="M190" s="11" t="str">
        <f aca="true">IF($D190="","",IF($K190="Completed",IF($L190="",$H190,$L190),IF($H190="","",IF($H190&lt;TODAY(),TODAY(),$H190))))</f>
        <v/>
      </c>
      <c r="N190" s="12" t="str">
        <f aca="true">IF($D190="","",IF($K190="Completed","Completed",IF($H190="","No Due Date",IF($H190&lt;TODAY(),"Carried Forward",IF($H190=TODAY(),"Due Today","Upcoming")))))</f>
        <v/>
      </c>
      <c r="O190" s="5" t="str">
        <f aca="true">IF($D190="","",IF($I190="","",IF($K190="Completed","",$I190-TODAY())))</f>
        <v/>
      </c>
      <c r="P190" s="5" t="str">
        <f aca="true">IF($D190="","",IF($B190="","",IF($K190="Completed",IF($L190="","",$L190-$B190),TODAY()-$B190)))</f>
        <v/>
      </c>
      <c r="Q190" s="5" t="str">
        <f aca="false">IF($D190="","",IF($K190="Completed","",MAX($Q$1:$Q189)+1))</f>
        <v/>
      </c>
      <c r="R190" s="7"/>
    </row>
    <row r="191" customFormat="false" ht="15" hidden="false" customHeight="false" outlineLevel="0" collapsed="false">
      <c r="A191" s="5" t="str">
        <f aca="false">IF($D191="","",ROW()-1)</f>
        <v/>
      </c>
      <c r="B191" s="6"/>
      <c r="C191" s="7"/>
      <c r="D191" s="7"/>
      <c r="E191" s="7"/>
      <c r="F191" s="7"/>
      <c r="G191" s="8"/>
      <c r="H191" s="6"/>
      <c r="I191" s="9"/>
      <c r="J191" s="10"/>
      <c r="K191" s="8"/>
      <c r="L191" s="6"/>
      <c r="M191" s="11" t="str">
        <f aca="true">IF($D191="","",IF($K191="Completed",IF($L191="",$H191,$L191),IF($H191="","",IF($H191&lt;TODAY(),TODAY(),$H191))))</f>
        <v/>
      </c>
      <c r="N191" s="12" t="str">
        <f aca="true">IF($D191="","",IF($K191="Completed","Completed",IF($H191="","No Due Date",IF($H191&lt;TODAY(),"Carried Forward",IF($H191=TODAY(),"Due Today","Upcoming")))))</f>
        <v/>
      </c>
      <c r="O191" s="5" t="str">
        <f aca="true">IF($D191="","",IF($I191="","",IF($K191="Completed","",$I191-TODAY())))</f>
        <v/>
      </c>
      <c r="P191" s="5" t="str">
        <f aca="true">IF($D191="","",IF($B191="","",IF($K191="Completed",IF($L191="","",$L191-$B191),TODAY()-$B191)))</f>
        <v/>
      </c>
      <c r="Q191" s="5" t="str">
        <f aca="false">IF($D191="","",IF($K191="Completed","",MAX($Q$1:$Q190)+1))</f>
        <v/>
      </c>
      <c r="R191" s="7"/>
    </row>
    <row r="192" customFormat="false" ht="15" hidden="false" customHeight="false" outlineLevel="0" collapsed="false">
      <c r="A192" s="5" t="str">
        <f aca="false">IF($D192="","",ROW()-1)</f>
        <v/>
      </c>
      <c r="B192" s="6"/>
      <c r="C192" s="7"/>
      <c r="D192" s="7"/>
      <c r="E192" s="7"/>
      <c r="F192" s="7"/>
      <c r="G192" s="8"/>
      <c r="H192" s="6"/>
      <c r="I192" s="9"/>
      <c r="J192" s="10"/>
      <c r="K192" s="8"/>
      <c r="L192" s="6"/>
      <c r="M192" s="11" t="str">
        <f aca="true">IF($D192="","",IF($K192="Completed",IF($L192="",$H192,$L192),IF($H192="","",IF($H192&lt;TODAY(),TODAY(),$H192))))</f>
        <v/>
      </c>
      <c r="N192" s="12" t="str">
        <f aca="true">IF($D192="","",IF($K192="Completed","Completed",IF($H192="","No Due Date",IF($H192&lt;TODAY(),"Carried Forward",IF($H192=TODAY(),"Due Today","Upcoming")))))</f>
        <v/>
      </c>
      <c r="O192" s="5" t="str">
        <f aca="true">IF($D192="","",IF($I192="","",IF($K192="Completed","",$I192-TODAY())))</f>
        <v/>
      </c>
      <c r="P192" s="5" t="str">
        <f aca="true">IF($D192="","",IF($B192="","",IF($K192="Completed",IF($L192="","",$L192-$B192),TODAY()-$B192)))</f>
        <v/>
      </c>
      <c r="Q192" s="5" t="str">
        <f aca="false">IF($D192="","",IF($K192="Completed","",MAX($Q$1:$Q191)+1))</f>
        <v/>
      </c>
      <c r="R192" s="7"/>
    </row>
    <row r="193" customFormat="false" ht="15" hidden="false" customHeight="false" outlineLevel="0" collapsed="false">
      <c r="A193" s="5" t="str">
        <f aca="false">IF($D193="","",ROW()-1)</f>
        <v/>
      </c>
      <c r="B193" s="6"/>
      <c r="C193" s="7"/>
      <c r="D193" s="7"/>
      <c r="E193" s="7"/>
      <c r="F193" s="7"/>
      <c r="G193" s="8"/>
      <c r="H193" s="6"/>
      <c r="I193" s="9"/>
      <c r="J193" s="10"/>
      <c r="K193" s="8"/>
      <c r="L193" s="6"/>
      <c r="M193" s="11" t="str">
        <f aca="true">IF($D193="","",IF($K193="Completed",IF($L193="",$H193,$L193),IF($H193="","",IF($H193&lt;TODAY(),TODAY(),$H193))))</f>
        <v/>
      </c>
      <c r="N193" s="12" t="str">
        <f aca="true">IF($D193="","",IF($K193="Completed","Completed",IF($H193="","No Due Date",IF($H193&lt;TODAY(),"Carried Forward",IF($H193=TODAY(),"Due Today","Upcoming")))))</f>
        <v/>
      </c>
      <c r="O193" s="5" t="str">
        <f aca="true">IF($D193="","",IF($I193="","",IF($K193="Completed","",$I193-TODAY())))</f>
        <v/>
      </c>
      <c r="P193" s="5" t="str">
        <f aca="true">IF($D193="","",IF($B193="","",IF($K193="Completed",IF($L193="","",$L193-$B193),TODAY()-$B193)))</f>
        <v/>
      </c>
      <c r="Q193" s="5" t="str">
        <f aca="false">IF($D193="","",IF($K193="Completed","",MAX($Q$1:$Q192)+1))</f>
        <v/>
      </c>
      <c r="R193" s="7"/>
    </row>
    <row r="194" customFormat="false" ht="15" hidden="false" customHeight="false" outlineLevel="0" collapsed="false">
      <c r="A194" s="5" t="str">
        <f aca="false">IF($D194="","",ROW()-1)</f>
        <v/>
      </c>
      <c r="B194" s="6"/>
      <c r="C194" s="7"/>
      <c r="D194" s="7"/>
      <c r="E194" s="7"/>
      <c r="F194" s="7"/>
      <c r="G194" s="8"/>
      <c r="H194" s="6"/>
      <c r="I194" s="9"/>
      <c r="J194" s="10"/>
      <c r="K194" s="8"/>
      <c r="L194" s="6"/>
      <c r="M194" s="11" t="str">
        <f aca="true">IF($D194="","",IF($K194="Completed",IF($L194="",$H194,$L194),IF($H194="","",IF($H194&lt;TODAY(),TODAY(),$H194))))</f>
        <v/>
      </c>
      <c r="N194" s="12" t="str">
        <f aca="true">IF($D194="","",IF($K194="Completed","Completed",IF($H194="","No Due Date",IF($H194&lt;TODAY(),"Carried Forward",IF($H194=TODAY(),"Due Today","Upcoming")))))</f>
        <v/>
      </c>
      <c r="O194" s="5" t="str">
        <f aca="true">IF($D194="","",IF($I194="","",IF($K194="Completed","",$I194-TODAY())))</f>
        <v/>
      </c>
      <c r="P194" s="5" t="str">
        <f aca="true">IF($D194="","",IF($B194="","",IF($K194="Completed",IF($L194="","",$L194-$B194),TODAY()-$B194)))</f>
        <v/>
      </c>
      <c r="Q194" s="5" t="str">
        <f aca="false">IF($D194="","",IF($K194="Completed","",MAX($Q$1:$Q193)+1))</f>
        <v/>
      </c>
      <c r="R194" s="7"/>
    </row>
    <row r="195" customFormat="false" ht="15" hidden="false" customHeight="false" outlineLevel="0" collapsed="false">
      <c r="A195" s="5" t="str">
        <f aca="false">IF($D195="","",ROW()-1)</f>
        <v/>
      </c>
      <c r="B195" s="6"/>
      <c r="C195" s="7"/>
      <c r="D195" s="7"/>
      <c r="E195" s="7"/>
      <c r="F195" s="7"/>
      <c r="G195" s="8"/>
      <c r="H195" s="6"/>
      <c r="I195" s="9"/>
      <c r="J195" s="10"/>
      <c r="K195" s="8"/>
      <c r="L195" s="6"/>
      <c r="M195" s="11" t="str">
        <f aca="true">IF($D195="","",IF($K195="Completed",IF($L195="",$H195,$L195),IF($H195="","",IF($H195&lt;TODAY(),TODAY(),$H195))))</f>
        <v/>
      </c>
      <c r="N195" s="12" t="str">
        <f aca="true">IF($D195="","",IF($K195="Completed","Completed",IF($H195="","No Due Date",IF($H195&lt;TODAY(),"Carried Forward",IF($H195=TODAY(),"Due Today","Upcoming")))))</f>
        <v/>
      </c>
      <c r="O195" s="5" t="str">
        <f aca="true">IF($D195="","",IF($I195="","",IF($K195="Completed","",$I195-TODAY())))</f>
        <v/>
      </c>
      <c r="P195" s="5" t="str">
        <f aca="true">IF($D195="","",IF($B195="","",IF($K195="Completed",IF($L195="","",$L195-$B195),TODAY()-$B195)))</f>
        <v/>
      </c>
      <c r="Q195" s="5" t="str">
        <f aca="false">IF($D195="","",IF($K195="Completed","",MAX($Q$1:$Q194)+1))</f>
        <v/>
      </c>
      <c r="R195" s="7"/>
    </row>
    <row r="196" customFormat="false" ht="15" hidden="false" customHeight="false" outlineLevel="0" collapsed="false">
      <c r="A196" s="5" t="str">
        <f aca="false">IF($D196="","",ROW()-1)</f>
        <v/>
      </c>
      <c r="B196" s="6"/>
      <c r="C196" s="7"/>
      <c r="D196" s="7"/>
      <c r="E196" s="7"/>
      <c r="F196" s="7"/>
      <c r="G196" s="8"/>
      <c r="H196" s="6"/>
      <c r="I196" s="9"/>
      <c r="J196" s="10"/>
      <c r="K196" s="8"/>
      <c r="L196" s="6"/>
      <c r="M196" s="11" t="str">
        <f aca="true">IF($D196="","",IF($K196="Completed",IF($L196="",$H196,$L196),IF($H196="","",IF($H196&lt;TODAY(),TODAY(),$H196))))</f>
        <v/>
      </c>
      <c r="N196" s="12" t="str">
        <f aca="true">IF($D196="","",IF($K196="Completed","Completed",IF($H196="","No Due Date",IF($H196&lt;TODAY(),"Carried Forward",IF($H196=TODAY(),"Due Today","Upcoming")))))</f>
        <v/>
      </c>
      <c r="O196" s="5" t="str">
        <f aca="true">IF($D196="","",IF($I196="","",IF($K196="Completed","",$I196-TODAY())))</f>
        <v/>
      </c>
      <c r="P196" s="5" t="str">
        <f aca="true">IF($D196="","",IF($B196="","",IF($K196="Completed",IF($L196="","",$L196-$B196),TODAY()-$B196)))</f>
        <v/>
      </c>
      <c r="Q196" s="5" t="str">
        <f aca="false">IF($D196="","",IF($K196="Completed","",MAX($Q$1:$Q195)+1))</f>
        <v/>
      </c>
      <c r="R196" s="7"/>
    </row>
    <row r="197" customFormat="false" ht="15" hidden="false" customHeight="false" outlineLevel="0" collapsed="false">
      <c r="A197" s="5" t="str">
        <f aca="false">IF($D197="","",ROW()-1)</f>
        <v/>
      </c>
      <c r="B197" s="6"/>
      <c r="C197" s="7"/>
      <c r="D197" s="7"/>
      <c r="E197" s="7"/>
      <c r="F197" s="7"/>
      <c r="G197" s="8"/>
      <c r="H197" s="6"/>
      <c r="I197" s="9"/>
      <c r="J197" s="10"/>
      <c r="K197" s="8"/>
      <c r="L197" s="6"/>
      <c r="M197" s="11" t="str">
        <f aca="true">IF($D197="","",IF($K197="Completed",IF($L197="",$H197,$L197),IF($H197="","",IF($H197&lt;TODAY(),TODAY(),$H197))))</f>
        <v/>
      </c>
      <c r="N197" s="12" t="str">
        <f aca="true">IF($D197="","",IF($K197="Completed","Completed",IF($H197="","No Due Date",IF($H197&lt;TODAY(),"Carried Forward",IF($H197=TODAY(),"Due Today","Upcoming")))))</f>
        <v/>
      </c>
      <c r="O197" s="5" t="str">
        <f aca="true">IF($D197="","",IF($I197="","",IF($K197="Completed","",$I197-TODAY())))</f>
        <v/>
      </c>
      <c r="P197" s="5" t="str">
        <f aca="true">IF($D197="","",IF($B197="","",IF($K197="Completed",IF($L197="","",$L197-$B197),TODAY()-$B197)))</f>
        <v/>
      </c>
      <c r="Q197" s="5" t="str">
        <f aca="false">IF($D197="","",IF($K197="Completed","",MAX($Q$1:$Q196)+1))</f>
        <v/>
      </c>
      <c r="R197" s="7"/>
    </row>
    <row r="198" customFormat="false" ht="15" hidden="false" customHeight="false" outlineLevel="0" collapsed="false">
      <c r="A198" s="5" t="str">
        <f aca="false">IF($D198="","",ROW()-1)</f>
        <v/>
      </c>
      <c r="B198" s="6"/>
      <c r="C198" s="7"/>
      <c r="D198" s="7"/>
      <c r="E198" s="7"/>
      <c r="F198" s="7"/>
      <c r="G198" s="8"/>
      <c r="H198" s="6"/>
      <c r="I198" s="9"/>
      <c r="J198" s="10"/>
      <c r="K198" s="8"/>
      <c r="L198" s="6"/>
      <c r="M198" s="11" t="str">
        <f aca="true">IF($D198="","",IF($K198="Completed",IF($L198="",$H198,$L198),IF($H198="","",IF($H198&lt;TODAY(),TODAY(),$H198))))</f>
        <v/>
      </c>
      <c r="N198" s="12" t="str">
        <f aca="true">IF($D198="","",IF($K198="Completed","Completed",IF($H198="","No Due Date",IF($H198&lt;TODAY(),"Carried Forward",IF($H198=TODAY(),"Due Today","Upcoming")))))</f>
        <v/>
      </c>
      <c r="O198" s="5" t="str">
        <f aca="true">IF($D198="","",IF($I198="","",IF($K198="Completed","",$I198-TODAY())))</f>
        <v/>
      </c>
      <c r="P198" s="5" t="str">
        <f aca="true">IF($D198="","",IF($B198="","",IF($K198="Completed",IF($L198="","",$L198-$B198),TODAY()-$B198)))</f>
        <v/>
      </c>
      <c r="Q198" s="5" t="str">
        <f aca="false">IF($D198="","",IF($K198="Completed","",MAX($Q$1:$Q197)+1))</f>
        <v/>
      </c>
      <c r="R198" s="7"/>
    </row>
    <row r="199" customFormat="false" ht="15" hidden="false" customHeight="false" outlineLevel="0" collapsed="false">
      <c r="A199" s="5" t="str">
        <f aca="false">IF($D199="","",ROW()-1)</f>
        <v/>
      </c>
      <c r="B199" s="6"/>
      <c r="C199" s="7"/>
      <c r="D199" s="7"/>
      <c r="E199" s="7"/>
      <c r="F199" s="7"/>
      <c r="G199" s="8"/>
      <c r="H199" s="6"/>
      <c r="I199" s="9"/>
      <c r="J199" s="10"/>
      <c r="K199" s="8"/>
      <c r="L199" s="6"/>
      <c r="M199" s="11" t="str">
        <f aca="true">IF($D199="","",IF($K199="Completed",IF($L199="",$H199,$L199),IF($H199="","",IF($H199&lt;TODAY(),TODAY(),$H199))))</f>
        <v/>
      </c>
      <c r="N199" s="12" t="str">
        <f aca="true">IF($D199="","",IF($K199="Completed","Completed",IF($H199="","No Due Date",IF($H199&lt;TODAY(),"Carried Forward",IF($H199=TODAY(),"Due Today","Upcoming")))))</f>
        <v/>
      </c>
      <c r="O199" s="5" t="str">
        <f aca="true">IF($D199="","",IF($I199="","",IF($K199="Completed","",$I199-TODAY())))</f>
        <v/>
      </c>
      <c r="P199" s="5" t="str">
        <f aca="true">IF($D199="","",IF($B199="","",IF($K199="Completed",IF($L199="","",$L199-$B199),TODAY()-$B199)))</f>
        <v/>
      </c>
      <c r="Q199" s="5" t="str">
        <f aca="false">IF($D199="","",IF($K199="Completed","",MAX($Q$1:$Q198)+1))</f>
        <v/>
      </c>
      <c r="R199" s="7"/>
    </row>
    <row r="200" customFormat="false" ht="15" hidden="false" customHeight="false" outlineLevel="0" collapsed="false">
      <c r="A200" s="5" t="str">
        <f aca="false">IF($D200="","",ROW()-1)</f>
        <v/>
      </c>
      <c r="B200" s="6"/>
      <c r="C200" s="7"/>
      <c r="D200" s="7"/>
      <c r="E200" s="7"/>
      <c r="F200" s="7"/>
      <c r="G200" s="8"/>
      <c r="H200" s="6"/>
      <c r="I200" s="9"/>
      <c r="J200" s="10"/>
      <c r="K200" s="8"/>
      <c r="L200" s="6"/>
      <c r="M200" s="11" t="str">
        <f aca="true">IF($D200="","",IF($K200="Completed",IF($L200="",$H200,$L200),IF($H200="","",IF($H200&lt;TODAY(),TODAY(),$H200))))</f>
        <v/>
      </c>
      <c r="N200" s="12" t="str">
        <f aca="true">IF($D200="","",IF($K200="Completed","Completed",IF($H200="","No Due Date",IF($H200&lt;TODAY(),"Carried Forward",IF($H200=TODAY(),"Due Today","Upcoming")))))</f>
        <v/>
      </c>
      <c r="O200" s="5" t="str">
        <f aca="true">IF($D200="","",IF($I200="","",IF($K200="Completed","",$I200-TODAY())))</f>
        <v/>
      </c>
      <c r="P200" s="5" t="str">
        <f aca="true">IF($D200="","",IF($B200="","",IF($K200="Completed",IF($L200="","",$L200-$B200),TODAY()-$B200)))</f>
        <v/>
      </c>
      <c r="Q200" s="5" t="str">
        <f aca="false">IF($D200="","",IF($K200="Completed","",MAX($Q$1:$Q199)+1))</f>
        <v/>
      </c>
      <c r="R200" s="7"/>
    </row>
    <row r="201" customFormat="false" ht="15" hidden="false" customHeight="false" outlineLevel="0" collapsed="false">
      <c r="A201" s="5" t="str">
        <f aca="false">IF($D201="","",ROW()-1)</f>
        <v/>
      </c>
      <c r="B201" s="6"/>
      <c r="C201" s="7"/>
      <c r="D201" s="7"/>
      <c r="E201" s="7"/>
      <c r="F201" s="7"/>
      <c r="G201" s="8"/>
      <c r="H201" s="6"/>
      <c r="I201" s="9"/>
      <c r="J201" s="10"/>
      <c r="K201" s="8"/>
      <c r="L201" s="6"/>
      <c r="M201" s="11" t="str">
        <f aca="true">IF($D201="","",IF($K201="Completed",IF($L201="",$H201,$L201),IF($H201="","",IF($H201&lt;TODAY(),TODAY(),$H201))))</f>
        <v/>
      </c>
      <c r="N201" s="12" t="str">
        <f aca="true">IF($D201="","",IF($K201="Completed","Completed",IF($H201="","No Due Date",IF($H201&lt;TODAY(),"Carried Forward",IF($H201=TODAY(),"Due Today","Upcoming")))))</f>
        <v/>
      </c>
      <c r="O201" s="5" t="str">
        <f aca="true">IF($D201="","",IF($I201="","",IF($K201="Completed","",$I201-TODAY())))</f>
        <v/>
      </c>
      <c r="P201" s="5" t="str">
        <f aca="true">IF($D201="","",IF($B201="","",IF($K201="Completed",IF($L201="","",$L201-$B201),TODAY()-$B201)))</f>
        <v/>
      </c>
      <c r="Q201" s="5" t="str">
        <f aca="false">IF($D201="","",IF($K201="Completed","",MAX($Q$1:$Q200)+1))</f>
        <v/>
      </c>
      <c r="R201" s="7"/>
    </row>
    <row r="202" customFormat="false" ht="15" hidden="false" customHeight="false" outlineLevel="0" collapsed="false">
      <c r="A202" s="5" t="str">
        <f aca="false">IF($D202="","",ROW()-1)</f>
        <v/>
      </c>
      <c r="B202" s="6"/>
      <c r="C202" s="7"/>
      <c r="D202" s="7"/>
      <c r="E202" s="7"/>
      <c r="F202" s="7"/>
      <c r="G202" s="8"/>
      <c r="H202" s="6"/>
      <c r="I202" s="9"/>
      <c r="J202" s="10"/>
      <c r="K202" s="8"/>
      <c r="L202" s="6"/>
      <c r="M202" s="11" t="str">
        <f aca="true">IF($D202="","",IF($K202="Completed",IF($L202="",$H202,$L202),IF($H202="","",IF($H202&lt;TODAY(),TODAY(),$H202))))</f>
        <v/>
      </c>
      <c r="N202" s="12" t="str">
        <f aca="true">IF($D202="","",IF($K202="Completed","Completed",IF($H202="","No Due Date",IF($H202&lt;TODAY(),"Carried Forward",IF($H202=TODAY(),"Due Today","Upcoming")))))</f>
        <v/>
      </c>
      <c r="O202" s="5" t="str">
        <f aca="true">IF($D202="","",IF($I202="","",IF($K202="Completed","",$I202-TODAY())))</f>
        <v/>
      </c>
      <c r="P202" s="5" t="str">
        <f aca="true">IF($D202="","",IF($B202="","",IF($K202="Completed",IF($L202="","",$L202-$B202),TODAY()-$B202)))</f>
        <v/>
      </c>
      <c r="Q202" s="5" t="str">
        <f aca="false">IF($D202="","",IF($K202="Completed","",MAX($Q$1:$Q201)+1))</f>
        <v/>
      </c>
      <c r="R202" s="7"/>
    </row>
    <row r="203" customFormat="false" ht="15" hidden="false" customHeight="false" outlineLevel="0" collapsed="false">
      <c r="A203" s="5" t="str">
        <f aca="false">IF($D203="","",ROW()-1)</f>
        <v/>
      </c>
      <c r="B203" s="6"/>
      <c r="C203" s="7"/>
      <c r="D203" s="7"/>
      <c r="E203" s="7"/>
      <c r="F203" s="7"/>
      <c r="G203" s="8"/>
      <c r="H203" s="6"/>
      <c r="I203" s="9"/>
      <c r="J203" s="10"/>
      <c r="K203" s="8"/>
      <c r="L203" s="6"/>
      <c r="M203" s="11" t="str">
        <f aca="true">IF($D203="","",IF($K203="Completed",IF($L203="",$H203,$L203),IF($H203="","",IF($H203&lt;TODAY(),TODAY(),$H203))))</f>
        <v/>
      </c>
      <c r="N203" s="12" t="str">
        <f aca="true">IF($D203="","",IF($K203="Completed","Completed",IF($H203="","No Due Date",IF($H203&lt;TODAY(),"Carried Forward",IF($H203=TODAY(),"Due Today","Upcoming")))))</f>
        <v/>
      </c>
      <c r="O203" s="5" t="str">
        <f aca="true">IF($D203="","",IF($I203="","",IF($K203="Completed","",$I203-TODAY())))</f>
        <v/>
      </c>
      <c r="P203" s="5" t="str">
        <f aca="true">IF($D203="","",IF($B203="","",IF($K203="Completed",IF($L203="","",$L203-$B203),TODAY()-$B203)))</f>
        <v/>
      </c>
      <c r="Q203" s="5" t="str">
        <f aca="false">IF($D203="","",IF($K203="Completed","",MAX($Q$1:$Q202)+1))</f>
        <v/>
      </c>
      <c r="R203" s="7"/>
    </row>
    <row r="204" customFormat="false" ht="15" hidden="false" customHeight="false" outlineLevel="0" collapsed="false">
      <c r="A204" s="5" t="str">
        <f aca="false">IF($D204="","",ROW()-1)</f>
        <v/>
      </c>
      <c r="B204" s="6"/>
      <c r="C204" s="7"/>
      <c r="D204" s="7"/>
      <c r="E204" s="7"/>
      <c r="F204" s="7"/>
      <c r="G204" s="8"/>
      <c r="H204" s="6"/>
      <c r="I204" s="9"/>
      <c r="J204" s="10"/>
      <c r="K204" s="8"/>
      <c r="L204" s="6"/>
      <c r="M204" s="11" t="str">
        <f aca="true">IF($D204="","",IF($K204="Completed",IF($L204="",$H204,$L204),IF($H204="","",IF($H204&lt;TODAY(),TODAY(),$H204))))</f>
        <v/>
      </c>
      <c r="N204" s="12" t="str">
        <f aca="true">IF($D204="","",IF($K204="Completed","Completed",IF($H204="","No Due Date",IF($H204&lt;TODAY(),"Carried Forward",IF($H204=TODAY(),"Due Today","Upcoming")))))</f>
        <v/>
      </c>
      <c r="O204" s="5" t="str">
        <f aca="true">IF($D204="","",IF($I204="","",IF($K204="Completed","",$I204-TODAY())))</f>
        <v/>
      </c>
      <c r="P204" s="5" t="str">
        <f aca="true">IF($D204="","",IF($B204="","",IF($K204="Completed",IF($L204="","",$L204-$B204),TODAY()-$B204)))</f>
        <v/>
      </c>
      <c r="Q204" s="5" t="str">
        <f aca="false">IF($D204="","",IF($K204="Completed","",MAX($Q$1:$Q203)+1))</f>
        <v/>
      </c>
      <c r="R204" s="7"/>
    </row>
    <row r="205" customFormat="false" ht="15" hidden="false" customHeight="false" outlineLevel="0" collapsed="false">
      <c r="A205" s="5" t="str">
        <f aca="false">IF($D205="","",ROW()-1)</f>
        <v/>
      </c>
      <c r="B205" s="6"/>
      <c r="C205" s="7"/>
      <c r="D205" s="7"/>
      <c r="E205" s="7"/>
      <c r="F205" s="7"/>
      <c r="G205" s="8"/>
      <c r="H205" s="6"/>
      <c r="I205" s="9"/>
      <c r="J205" s="10"/>
      <c r="K205" s="8"/>
      <c r="L205" s="6"/>
      <c r="M205" s="11" t="str">
        <f aca="true">IF($D205="","",IF($K205="Completed",IF($L205="",$H205,$L205),IF($H205="","",IF($H205&lt;TODAY(),TODAY(),$H205))))</f>
        <v/>
      </c>
      <c r="N205" s="12" t="str">
        <f aca="true">IF($D205="","",IF($K205="Completed","Completed",IF($H205="","No Due Date",IF($H205&lt;TODAY(),"Carried Forward",IF($H205=TODAY(),"Due Today","Upcoming")))))</f>
        <v/>
      </c>
      <c r="O205" s="5" t="str">
        <f aca="true">IF($D205="","",IF($I205="","",IF($K205="Completed","",$I205-TODAY())))</f>
        <v/>
      </c>
      <c r="P205" s="5" t="str">
        <f aca="true">IF($D205="","",IF($B205="","",IF($K205="Completed",IF($L205="","",$L205-$B205),TODAY()-$B205)))</f>
        <v/>
      </c>
      <c r="Q205" s="5" t="str">
        <f aca="false">IF($D205="","",IF($K205="Completed","",MAX($Q$1:$Q204)+1))</f>
        <v/>
      </c>
      <c r="R205" s="7"/>
    </row>
    <row r="206" customFormat="false" ht="15" hidden="false" customHeight="false" outlineLevel="0" collapsed="false">
      <c r="A206" s="5" t="str">
        <f aca="false">IF($D206="","",ROW()-1)</f>
        <v/>
      </c>
      <c r="B206" s="6"/>
      <c r="C206" s="7"/>
      <c r="D206" s="7"/>
      <c r="E206" s="7"/>
      <c r="F206" s="7"/>
      <c r="G206" s="8"/>
      <c r="H206" s="6"/>
      <c r="I206" s="9"/>
      <c r="J206" s="10"/>
      <c r="K206" s="8"/>
      <c r="L206" s="6"/>
      <c r="M206" s="11" t="str">
        <f aca="true">IF($D206="","",IF($K206="Completed",IF($L206="",$H206,$L206),IF($H206="","",IF($H206&lt;TODAY(),TODAY(),$H206))))</f>
        <v/>
      </c>
      <c r="N206" s="12" t="str">
        <f aca="true">IF($D206="","",IF($K206="Completed","Completed",IF($H206="","No Due Date",IF($H206&lt;TODAY(),"Carried Forward",IF($H206=TODAY(),"Due Today","Upcoming")))))</f>
        <v/>
      </c>
      <c r="O206" s="5" t="str">
        <f aca="true">IF($D206="","",IF($I206="","",IF($K206="Completed","",$I206-TODAY())))</f>
        <v/>
      </c>
      <c r="P206" s="5" t="str">
        <f aca="true">IF($D206="","",IF($B206="","",IF($K206="Completed",IF($L206="","",$L206-$B206),TODAY()-$B206)))</f>
        <v/>
      </c>
      <c r="Q206" s="5" t="str">
        <f aca="false">IF($D206="","",IF($K206="Completed","",MAX($Q$1:$Q205)+1))</f>
        <v/>
      </c>
      <c r="R206" s="7"/>
    </row>
    <row r="207" customFormat="false" ht="15" hidden="false" customHeight="false" outlineLevel="0" collapsed="false">
      <c r="A207" s="5" t="str">
        <f aca="false">IF($D207="","",ROW()-1)</f>
        <v/>
      </c>
      <c r="B207" s="6"/>
      <c r="C207" s="7"/>
      <c r="D207" s="7"/>
      <c r="E207" s="7"/>
      <c r="F207" s="7"/>
      <c r="G207" s="8"/>
      <c r="H207" s="6"/>
      <c r="I207" s="9"/>
      <c r="J207" s="10"/>
      <c r="K207" s="8"/>
      <c r="L207" s="6"/>
      <c r="M207" s="11" t="str">
        <f aca="true">IF($D207="","",IF($K207="Completed",IF($L207="",$H207,$L207),IF($H207="","",IF($H207&lt;TODAY(),TODAY(),$H207))))</f>
        <v/>
      </c>
      <c r="N207" s="12" t="str">
        <f aca="true">IF($D207="","",IF($K207="Completed","Completed",IF($H207="","No Due Date",IF($H207&lt;TODAY(),"Carried Forward",IF($H207=TODAY(),"Due Today","Upcoming")))))</f>
        <v/>
      </c>
      <c r="O207" s="5" t="str">
        <f aca="true">IF($D207="","",IF($I207="","",IF($K207="Completed","",$I207-TODAY())))</f>
        <v/>
      </c>
      <c r="P207" s="5" t="str">
        <f aca="true">IF($D207="","",IF($B207="","",IF($K207="Completed",IF($L207="","",$L207-$B207),TODAY()-$B207)))</f>
        <v/>
      </c>
      <c r="Q207" s="5" t="str">
        <f aca="false">IF($D207="","",IF($K207="Completed","",MAX($Q$1:$Q206)+1))</f>
        <v/>
      </c>
      <c r="R207" s="7"/>
    </row>
    <row r="208" customFormat="false" ht="15" hidden="false" customHeight="false" outlineLevel="0" collapsed="false">
      <c r="A208" s="5" t="str">
        <f aca="false">IF($D208="","",ROW()-1)</f>
        <v/>
      </c>
      <c r="B208" s="6"/>
      <c r="C208" s="7"/>
      <c r="D208" s="7"/>
      <c r="E208" s="7"/>
      <c r="F208" s="7"/>
      <c r="G208" s="8"/>
      <c r="H208" s="6"/>
      <c r="I208" s="9"/>
      <c r="J208" s="10"/>
      <c r="K208" s="8"/>
      <c r="L208" s="6"/>
      <c r="M208" s="11" t="str">
        <f aca="true">IF($D208="","",IF($K208="Completed",IF($L208="",$H208,$L208),IF($H208="","",IF($H208&lt;TODAY(),TODAY(),$H208))))</f>
        <v/>
      </c>
      <c r="N208" s="12" t="str">
        <f aca="true">IF($D208="","",IF($K208="Completed","Completed",IF($H208="","No Due Date",IF($H208&lt;TODAY(),"Carried Forward",IF($H208=TODAY(),"Due Today","Upcoming")))))</f>
        <v/>
      </c>
      <c r="O208" s="5" t="str">
        <f aca="true">IF($D208="","",IF($I208="","",IF($K208="Completed","",$I208-TODAY())))</f>
        <v/>
      </c>
      <c r="P208" s="5" t="str">
        <f aca="true">IF($D208="","",IF($B208="","",IF($K208="Completed",IF($L208="","",$L208-$B208),TODAY()-$B208)))</f>
        <v/>
      </c>
      <c r="Q208" s="5" t="str">
        <f aca="false">IF($D208="","",IF($K208="Completed","",MAX($Q$1:$Q207)+1))</f>
        <v/>
      </c>
      <c r="R208" s="7"/>
    </row>
    <row r="209" customFormat="false" ht="15" hidden="false" customHeight="false" outlineLevel="0" collapsed="false">
      <c r="A209" s="5" t="str">
        <f aca="false">IF($D209="","",ROW()-1)</f>
        <v/>
      </c>
      <c r="B209" s="6"/>
      <c r="C209" s="7"/>
      <c r="D209" s="7"/>
      <c r="E209" s="7"/>
      <c r="F209" s="7"/>
      <c r="G209" s="8"/>
      <c r="H209" s="6"/>
      <c r="I209" s="9"/>
      <c r="J209" s="10"/>
      <c r="K209" s="8"/>
      <c r="L209" s="6"/>
      <c r="M209" s="11" t="str">
        <f aca="true">IF($D209="","",IF($K209="Completed",IF($L209="",$H209,$L209),IF($H209="","",IF($H209&lt;TODAY(),TODAY(),$H209))))</f>
        <v/>
      </c>
      <c r="N209" s="12" t="str">
        <f aca="true">IF($D209="","",IF($K209="Completed","Completed",IF($H209="","No Due Date",IF($H209&lt;TODAY(),"Carried Forward",IF($H209=TODAY(),"Due Today","Upcoming")))))</f>
        <v/>
      </c>
      <c r="O209" s="5" t="str">
        <f aca="true">IF($D209="","",IF($I209="","",IF($K209="Completed","",$I209-TODAY())))</f>
        <v/>
      </c>
      <c r="P209" s="5" t="str">
        <f aca="true">IF($D209="","",IF($B209="","",IF($K209="Completed",IF($L209="","",$L209-$B209),TODAY()-$B209)))</f>
        <v/>
      </c>
      <c r="Q209" s="5" t="str">
        <f aca="false">IF($D209="","",IF($K209="Completed","",MAX($Q$1:$Q208)+1))</f>
        <v/>
      </c>
      <c r="R209" s="7"/>
    </row>
    <row r="210" customFormat="false" ht="15" hidden="false" customHeight="false" outlineLevel="0" collapsed="false">
      <c r="A210" s="5" t="str">
        <f aca="false">IF($D210="","",ROW()-1)</f>
        <v/>
      </c>
      <c r="B210" s="6"/>
      <c r="C210" s="7"/>
      <c r="D210" s="7"/>
      <c r="E210" s="7"/>
      <c r="F210" s="7"/>
      <c r="G210" s="8"/>
      <c r="H210" s="6"/>
      <c r="I210" s="9"/>
      <c r="J210" s="10"/>
      <c r="K210" s="8"/>
      <c r="L210" s="6"/>
      <c r="M210" s="11" t="str">
        <f aca="true">IF($D210="","",IF($K210="Completed",IF($L210="",$H210,$L210),IF($H210="","",IF($H210&lt;TODAY(),TODAY(),$H210))))</f>
        <v/>
      </c>
      <c r="N210" s="12" t="str">
        <f aca="true">IF($D210="","",IF($K210="Completed","Completed",IF($H210="","No Due Date",IF($H210&lt;TODAY(),"Carried Forward",IF($H210=TODAY(),"Due Today","Upcoming")))))</f>
        <v/>
      </c>
      <c r="O210" s="5" t="str">
        <f aca="true">IF($D210="","",IF($I210="","",IF($K210="Completed","",$I210-TODAY())))</f>
        <v/>
      </c>
      <c r="P210" s="5" t="str">
        <f aca="true">IF($D210="","",IF($B210="","",IF($K210="Completed",IF($L210="","",$L210-$B210),TODAY()-$B210)))</f>
        <v/>
      </c>
      <c r="Q210" s="5" t="str">
        <f aca="false">IF($D210="","",IF($K210="Completed","",MAX($Q$1:$Q209)+1))</f>
        <v/>
      </c>
      <c r="R210" s="7"/>
    </row>
    <row r="211" customFormat="false" ht="15" hidden="false" customHeight="false" outlineLevel="0" collapsed="false">
      <c r="A211" s="5" t="str">
        <f aca="false">IF($D211="","",ROW()-1)</f>
        <v/>
      </c>
      <c r="B211" s="6"/>
      <c r="C211" s="7"/>
      <c r="D211" s="7"/>
      <c r="E211" s="7"/>
      <c r="F211" s="7"/>
      <c r="G211" s="8"/>
      <c r="H211" s="6"/>
      <c r="I211" s="9"/>
      <c r="J211" s="10"/>
      <c r="K211" s="8"/>
      <c r="L211" s="6"/>
      <c r="M211" s="11" t="str">
        <f aca="true">IF($D211="","",IF($K211="Completed",IF($L211="",$H211,$L211),IF($H211="","",IF($H211&lt;TODAY(),TODAY(),$H211))))</f>
        <v/>
      </c>
      <c r="N211" s="12" t="str">
        <f aca="true">IF($D211="","",IF($K211="Completed","Completed",IF($H211="","No Due Date",IF($H211&lt;TODAY(),"Carried Forward",IF($H211=TODAY(),"Due Today","Upcoming")))))</f>
        <v/>
      </c>
      <c r="O211" s="5" t="str">
        <f aca="true">IF($D211="","",IF($I211="","",IF($K211="Completed","",$I211-TODAY())))</f>
        <v/>
      </c>
      <c r="P211" s="5" t="str">
        <f aca="true">IF($D211="","",IF($B211="","",IF($K211="Completed",IF($L211="","",$L211-$B211),TODAY()-$B211)))</f>
        <v/>
      </c>
      <c r="Q211" s="5" t="str">
        <f aca="false">IF($D211="","",IF($K211="Completed","",MAX($Q$1:$Q210)+1))</f>
        <v/>
      </c>
      <c r="R211" s="7"/>
    </row>
    <row r="212" customFormat="false" ht="15" hidden="false" customHeight="false" outlineLevel="0" collapsed="false">
      <c r="A212" s="5" t="str">
        <f aca="false">IF($D212="","",ROW()-1)</f>
        <v/>
      </c>
      <c r="B212" s="6"/>
      <c r="C212" s="7"/>
      <c r="D212" s="7"/>
      <c r="E212" s="7"/>
      <c r="F212" s="7"/>
      <c r="G212" s="8"/>
      <c r="H212" s="6"/>
      <c r="I212" s="9"/>
      <c r="J212" s="10"/>
      <c r="K212" s="8"/>
      <c r="L212" s="6"/>
      <c r="M212" s="11" t="str">
        <f aca="true">IF($D212="","",IF($K212="Completed",IF($L212="",$H212,$L212),IF($H212="","",IF($H212&lt;TODAY(),TODAY(),$H212))))</f>
        <v/>
      </c>
      <c r="N212" s="12" t="str">
        <f aca="true">IF($D212="","",IF($K212="Completed","Completed",IF($H212="","No Due Date",IF($H212&lt;TODAY(),"Carried Forward",IF($H212=TODAY(),"Due Today","Upcoming")))))</f>
        <v/>
      </c>
      <c r="O212" s="5" t="str">
        <f aca="true">IF($D212="","",IF($I212="","",IF($K212="Completed","",$I212-TODAY())))</f>
        <v/>
      </c>
      <c r="P212" s="5" t="str">
        <f aca="true">IF($D212="","",IF($B212="","",IF($K212="Completed",IF($L212="","",$L212-$B212),TODAY()-$B212)))</f>
        <v/>
      </c>
      <c r="Q212" s="5" t="str">
        <f aca="false">IF($D212="","",IF($K212="Completed","",MAX($Q$1:$Q211)+1))</f>
        <v/>
      </c>
      <c r="R212" s="7"/>
    </row>
    <row r="213" customFormat="false" ht="15" hidden="false" customHeight="false" outlineLevel="0" collapsed="false">
      <c r="A213" s="5" t="str">
        <f aca="false">IF($D213="","",ROW()-1)</f>
        <v/>
      </c>
      <c r="B213" s="6"/>
      <c r="C213" s="7"/>
      <c r="D213" s="7"/>
      <c r="E213" s="7"/>
      <c r="F213" s="7"/>
      <c r="G213" s="8"/>
      <c r="H213" s="6"/>
      <c r="I213" s="9"/>
      <c r="J213" s="10"/>
      <c r="K213" s="8"/>
      <c r="L213" s="6"/>
      <c r="M213" s="11" t="str">
        <f aca="true">IF($D213="","",IF($K213="Completed",IF($L213="",$H213,$L213),IF($H213="","",IF($H213&lt;TODAY(),TODAY(),$H213))))</f>
        <v/>
      </c>
      <c r="N213" s="12" t="str">
        <f aca="true">IF($D213="","",IF($K213="Completed","Completed",IF($H213="","No Due Date",IF($H213&lt;TODAY(),"Carried Forward",IF($H213=TODAY(),"Due Today","Upcoming")))))</f>
        <v/>
      </c>
      <c r="O213" s="5" t="str">
        <f aca="true">IF($D213="","",IF($I213="","",IF($K213="Completed","",$I213-TODAY())))</f>
        <v/>
      </c>
      <c r="P213" s="5" t="str">
        <f aca="true">IF($D213="","",IF($B213="","",IF($K213="Completed",IF($L213="","",$L213-$B213),TODAY()-$B213)))</f>
        <v/>
      </c>
      <c r="Q213" s="5" t="str">
        <f aca="false">IF($D213="","",IF($K213="Completed","",MAX($Q$1:$Q212)+1))</f>
        <v/>
      </c>
      <c r="R213" s="7"/>
    </row>
    <row r="214" customFormat="false" ht="15" hidden="false" customHeight="false" outlineLevel="0" collapsed="false">
      <c r="A214" s="5" t="str">
        <f aca="false">IF($D214="","",ROW()-1)</f>
        <v/>
      </c>
      <c r="B214" s="6"/>
      <c r="C214" s="7"/>
      <c r="D214" s="7"/>
      <c r="E214" s="7"/>
      <c r="F214" s="7"/>
      <c r="G214" s="8"/>
      <c r="H214" s="6"/>
      <c r="I214" s="9"/>
      <c r="J214" s="10"/>
      <c r="K214" s="8"/>
      <c r="L214" s="6"/>
      <c r="M214" s="11" t="str">
        <f aca="true">IF($D214="","",IF($K214="Completed",IF($L214="",$H214,$L214),IF($H214="","",IF($H214&lt;TODAY(),TODAY(),$H214))))</f>
        <v/>
      </c>
      <c r="N214" s="12" t="str">
        <f aca="true">IF($D214="","",IF($K214="Completed","Completed",IF($H214="","No Due Date",IF($H214&lt;TODAY(),"Carried Forward",IF($H214=TODAY(),"Due Today","Upcoming")))))</f>
        <v/>
      </c>
      <c r="O214" s="5" t="str">
        <f aca="true">IF($D214="","",IF($I214="","",IF($K214="Completed","",$I214-TODAY())))</f>
        <v/>
      </c>
      <c r="P214" s="5" t="str">
        <f aca="true">IF($D214="","",IF($B214="","",IF($K214="Completed",IF($L214="","",$L214-$B214),TODAY()-$B214)))</f>
        <v/>
      </c>
      <c r="Q214" s="5" t="str">
        <f aca="false">IF($D214="","",IF($K214="Completed","",MAX($Q$1:$Q213)+1))</f>
        <v/>
      </c>
      <c r="R214" s="7"/>
    </row>
    <row r="215" customFormat="false" ht="15" hidden="false" customHeight="false" outlineLevel="0" collapsed="false">
      <c r="A215" s="5" t="str">
        <f aca="false">IF($D215="","",ROW()-1)</f>
        <v/>
      </c>
      <c r="B215" s="6"/>
      <c r="C215" s="7"/>
      <c r="D215" s="7"/>
      <c r="E215" s="7"/>
      <c r="F215" s="7"/>
      <c r="G215" s="8"/>
      <c r="H215" s="6"/>
      <c r="I215" s="9"/>
      <c r="J215" s="10"/>
      <c r="K215" s="8"/>
      <c r="L215" s="6"/>
      <c r="M215" s="11" t="str">
        <f aca="true">IF($D215="","",IF($K215="Completed",IF($L215="",$H215,$L215),IF($H215="","",IF($H215&lt;TODAY(),TODAY(),$H215))))</f>
        <v/>
      </c>
      <c r="N215" s="12" t="str">
        <f aca="true">IF($D215="","",IF($K215="Completed","Completed",IF($H215="","No Due Date",IF($H215&lt;TODAY(),"Carried Forward",IF($H215=TODAY(),"Due Today","Upcoming")))))</f>
        <v/>
      </c>
      <c r="O215" s="5" t="str">
        <f aca="true">IF($D215="","",IF($I215="","",IF($K215="Completed","",$I215-TODAY())))</f>
        <v/>
      </c>
      <c r="P215" s="5" t="str">
        <f aca="true">IF($D215="","",IF($B215="","",IF($K215="Completed",IF($L215="","",$L215-$B215),TODAY()-$B215)))</f>
        <v/>
      </c>
      <c r="Q215" s="5" t="str">
        <f aca="false">IF($D215="","",IF($K215="Completed","",MAX($Q$1:$Q214)+1))</f>
        <v/>
      </c>
      <c r="R215" s="7"/>
    </row>
    <row r="216" customFormat="false" ht="15" hidden="false" customHeight="false" outlineLevel="0" collapsed="false">
      <c r="A216" s="5" t="str">
        <f aca="false">IF($D216="","",ROW()-1)</f>
        <v/>
      </c>
      <c r="B216" s="6"/>
      <c r="C216" s="7"/>
      <c r="D216" s="7"/>
      <c r="E216" s="7"/>
      <c r="F216" s="7"/>
      <c r="G216" s="8"/>
      <c r="H216" s="6"/>
      <c r="I216" s="9"/>
      <c r="J216" s="10"/>
      <c r="K216" s="8"/>
      <c r="L216" s="6"/>
      <c r="M216" s="11" t="str">
        <f aca="true">IF($D216="","",IF($K216="Completed",IF($L216="",$H216,$L216),IF($H216="","",IF($H216&lt;TODAY(),TODAY(),$H216))))</f>
        <v/>
      </c>
      <c r="N216" s="12" t="str">
        <f aca="true">IF($D216="","",IF($K216="Completed","Completed",IF($H216="","No Due Date",IF($H216&lt;TODAY(),"Carried Forward",IF($H216=TODAY(),"Due Today","Upcoming")))))</f>
        <v/>
      </c>
      <c r="O216" s="5" t="str">
        <f aca="true">IF($D216="","",IF($I216="","",IF($K216="Completed","",$I216-TODAY())))</f>
        <v/>
      </c>
      <c r="P216" s="5" t="str">
        <f aca="true">IF($D216="","",IF($B216="","",IF($K216="Completed",IF($L216="","",$L216-$B216),TODAY()-$B216)))</f>
        <v/>
      </c>
      <c r="Q216" s="5" t="str">
        <f aca="false">IF($D216="","",IF($K216="Completed","",MAX($Q$1:$Q215)+1))</f>
        <v/>
      </c>
      <c r="R216" s="7"/>
    </row>
    <row r="217" customFormat="false" ht="15" hidden="false" customHeight="false" outlineLevel="0" collapsed="false">
      <c r="A217" s="5" t="str">
        <f aca="false">IF($D217="","",ROW()-1)</f>
        <v/>
      </c>
      <c r="B217" s="6"/>
      <c r="C217" s="7"/>
      <c r="D217" s="7"/>
      <c r="E217" s="7"/>
      <c r="F217" s="7"/>
      <c r="G217" s="8"/>
      <c r="H217" s="6"/>
      <c r="I217" s="9"/>
      <c r="J217" s="10"/>
      <c r="K217" s="8"/>
      <c r="L217" s="6"/>
      <c r="M217" s="11" t="str">
        <f aca="true">IF($D217="","",IF($K217="Completed",IF($L217="",$H217,$L217),IF($H217="","",IF($H217&lt;TODAY(),TODAY(),$H217))))</f>
        <v/>
      </c>
      <c r="N217" s="12" t="str">
        <f aca="true">IF($D217="","",IF($K217="Completed","Completed",IF($H217="","No Due Date",IF($H217&lt;TODAY(),"Carried Forward",IF($H217=TODAY(),"Due Today","Upcoming")))))</f>
        <v/>
      </c>
      <c r="O217" s="5" t="str">
        <f aca="true">IF($D217="","",IF($I217="","",IF($K217="Completed","",$I217-TODAY())))</f>
        <v/>
      </c>
      <c r="P217" s="5" t="str">
        <f aca="true">IF($D217="","",IF($B217="","",IF($K217="Completed",IF($L217="","",$L217-$B217),TODAY()-$B217)))</f>
        <v/>
      </c>
      <c r="Q217" s="5" t="str">
        <f aca="false">IF($D217="","",IF($K217="Completed","",MAX($Q$1:$Q216)+1))</f>
        <v/>
      </c>
      <c r="R217" s="7"/>
    </row>
    <row r="218" customFormat="false" ht="15" hidden="false" customHeight="false" outlineLevel="0" collapsed="false">
      <c r="A218" s="5" t="str">
        <f aca="false">IF($D218="","",ROW()-1)</f>
        <v/>
      </c>
      <c r="B218" s="6"/>
      <c r="C218" s="7"/>
      <c r="D218" s="7"/>
      <c r="E218" s="7"/>
      <c r="F218" s="7"/>
      <c r="G218" s="8"/>
      <c r="H218" s="6"/>
      <c r="I218" s="9"/>
      <c r="J218" s="10"/>
      <c r="K218" s="8"/>
      <c r="L218" s="6"/>
      <c r="M218" s="11" t="str">
        <f aca="true">IF($D218="","",IF($K218="Completed",IF($L218="",$H218,$L218),IF($H218="","",IF($H218&lt;TODAY(),TODAY(),$H218))))</f>
        <v/>
      </c>
      <c r="N218" s="12" t="str">
        <f aca="true">IF($D218="","",IF($K218="Completed","Completed",IF($H218="","No Due Date",IF($H218&lt;TODAY(),"Carried Forward",IF($H218=TODAY(),"Due Today","Upcoming")))))</f>
        <v/>
      </c>
      <c r="O218" s="5" t="str">
        <f aca="true">IF($D218="","",IF($I218="","",IF($K218="Completed","",$I218-TODAY())))</f>
        <v/>
      </c>
      <c r="P218" s="5" t="str">
        <f aca="true">IF($D218="","",IF($B218="","",IF($K218="Completed",IF($L218="","",$L218-$B218),TODAY()-$B218)))</f>
        <v/>
      </c>
      <c r="Q218" s="5" t="str">
        <f aca="false">IF($D218="","",IF($K218="Completed","",MAX($Q$1:$Q217)+1))</f>
        <v/>
      </c>
      <c r="R218" s="7"/>
    </row>
    <row r="219" customFormat="false" ht="15" hidden="false" customHeight="false" outlineLevel="0" collapsed="false">
      <c r="A219" s="5" t="str">
        <f aca="false">IF($D219="","",ROW()-1)</f>
        <v/>
      </c>
      <c r="B219" s="6"/>
      <c r="C219" s="7"/>
      <c r="D219" s="7"/>
      <c r="E219" s="7"/>
      <c r="F219" s="7"/>
      <c r="G219" s="8"/>
      <c r="H219" s="6"/>
      <c r="I219" s="9"/>
      <c r="J219" s="10"/>
      <c r="K219" s="8"/>
      <c r="L219" s="6"/>
      <c r="M219" s="11" t="str">
        <f aca="true">IF($D219="","",IF($K219="Completed",IF($L219="",$H219,$L219),IF($H219="","",IF($H219&lt;TODAY(),TODAY(),$H219))))</f>
        <v/>
      </c>
      <c r="N219" s="12" t="str">
        <f aca="true">IF($D219="","",IF($K219="Completed","Completed",IF($H219="","No Due Date",IF($H219&lt;TODAY(),"Carried Forward",IF($H219=TODAY(),"Due Today","Upcoming")))))</f>
        <v/>
      </c>
      <c r="O219" s="5" t="str">
        <f aca="true">IF($D219="","",IF($I219="","",IF($K219="Completed","",$I219-TODAY())))</f>
        <v/>
      </c>
      <c r="P219" s="5" t="str">
        <f aca="true">IF($D219="","",IF($B219="","",IF($K219="Completed",IF($L219="","",$L219-$B219),TODAY()-$B219)))</f>
        <v/>
      </c>
      <c r="Q219" s="5" t="str">
        <f aca="false">IF($D219="","",IF($K219="Completed","",MAX($Q$1:$Q218)+1))</f>
        <v/>
      </c>
      <c r="R219" s="7"/>
    </row>
    <row r="220" customFormat="false" ht="15" hidden="false" customHeight="false" outlineLevel="0" collapsed="false">
      <c r="A220" s="5" t="str">
        <f aca="false">IF($D220="","",ROW()-1)</f>
        <v/>
      </c>
      <c r="B220" s="6"/>
      <c r="C220" s="7"/>
      <c r="D220" s="7"/>
      <c r="E220" s="7"/>
      <c r="F220" s="7"/>
      <c r="G220" s="8"/>
      <c r="H220" s="6"/>
      <c r="I220" s="9"/>
      <c r="J220" s="10"/>
      <c r="K220" s="8"/>
      <c r="L220" s="6"/>
      <c r="M220" s="11" t="str">
        <f aca="true">IF($D220="","",IF($K220="Completed",IF($L220="",$H220,$L220),IF($H220="","",IF($H220&lt;TODAY(),TODAY(),$H220))))</f>
        <v/>
      </c>
      <c r="N220" s="12" t="str">
        <f aca="true">IF($D220="","",IF($K220="Completed","Completed",IF($H220="","No Due Date",IF($H220&lt;TODAY(),"Carried Forward",IF($H220=TODAY(),"Due Today","Upcoming")))))</f>
        <v/>
      </c>
      <c r="O220" s="5" t="str">
        <f aca="true">IF($D220="","",IF($I220="","",IF($K220="Completed","",$I220-TODAY())))</f>
        <v/>
      </c>
      <c r="P220" s="5" t="str">
        <f aca="true">IF($D220="","",IF($B220="","",IF($K220="Completed",IF($L220="","",$L220-$B220),TODAY()-$B220)))</f>
        <v/>
      </c>
      <c r="Q220" s="5" t="str">
        <f aca="false">IF($D220="","",IF($K220="Completed","",MAX($Q$1:$Q219)+1))</f>
        <v/>
      </c>
      <c r="R220" s="7"/>
    </row>
    <row r="221" customFormat="false" ht="15" hidden="false" customHeight="false" outlineLevel="0" collapsed="false">
      <c r="A221" s="5" t="str">
        <f aca="false">IF($D221="","",ROW()-1)</f>
        <v/>
      </c>
      <c r="B221" s="6"/>
      <c r="C221" s="7"/>
      <c r="D221" s="7"/>
      <c r="E221" s="7"/>
      <c r="F221" s="7"/>
      <c r="G221" s="8"/>
      <c r="H221" s="6"/>
      <c r="I221" s="9"/>
      <c r="J221" s="10"/>
      <c r="K221" s="8"/>
      <c r="L221" s="6"/>
      <c r="M221" s="11" t="str">
        <f aca="true">IF($D221="","",IF($K221="Completed",IF($L221="",$H221,$L221),IF($H221="","",IF($H221&lt;TODAY(),TODAY(),$H221))))</f>
        <v/>
      </c>
      <c r="N221" s="12" t="str">
        <f aca="true">IF($D221="","",IF($K221="Completed","Completed",IF($H221="","No Due Date",IF($H221&lt;TODAY(),"Carried Forward",IF($H221=TODAY(),"Due Today","Upcoming")))))</f>
        <v/>
      </c>
      <c r="O221" s="5" t="str">
        <f aca="true">IF($D221="","",IF($I221="","",IF($K221="Completed","",$I221-TODAY())))</f>
        <v/>
      </c>
      <c r="P221" s="5" t="str">
        <f aca="true">IF($D221="","",IF($B221="","",IF($K221="Completed",IF($L221="","",$L221-$B221),TODAY()-$B221)))</f>
        <v/>
      </c>
      <c r="Q221" s="5" t="str">
        <f aca="false">IF($D221="","",IF($K221="Completed","",MAX($Q$1:$Q220)+1))</f>
        <v/>
      </c>
      <c r="R221" s="7"/>
    </row>
    <row r="222" customFormat="false" ht="15" hidden="false" customHeight="false" outlineLevel="0" collapsed="false">
      <c r="A222" s="5" t="str">
        <f aca="false">IF($D222="","",ROW()-1)</f>
        <v/>
      </c>
      <c r="B222" s="6"/>
      <c r="C222" s="7"/>
      <c r="D222" s="7"/>
      <c r="E222" s="7"/>
      <c r="F222" s="7"/>
      <c r="G222" s="8"/>
      <c r="H222" s="6"/>
      <c r="I222" s="9"/>
      <c r="J222" s="10"/>
      <c r="K222" s="8"/>
      <c r="L222" s="6"/>
      <c r="M222" s="11" t="str">
        <f aca="true">IF($D222="","",IF($K222="Completed",IF($L222="",$H222,$L222),IF($H222="","",IF($H222&lt;TODAY(),TODAY(),$H222))))</f>
        <v/>
      </c>
      <c r="N222" s="12" t="str">
        <f aca="true">IF($D222="","",IF($K222="Completed","Completed",IF($H222="","No Due Date",IF($H222&lt;TODAY(),"Carried Forward",IF($H222=TODAY(),"Due Today","Upcoming")))))</f>
        <v/>
      </c>
      <c r="O222" s="5" t="str">
        <f aca="true">IF($D222="","",IF($I222="","",IF($K222="Completed","",$I222-TODAY())))</f>
        <v/>
      </c>
      <c r="P222" s="5" t="str">
        <f aca="true">IF($D222="","",IF($B222="","",IF($K222="Completed",IF($L222="","",$L222-$B222),TODAY()-$B222)))</f>
        <v/>
      </c>
      <c r="Q222" s="5" t="str">
        <f aca="false">IF($D222="","",IF($K222="Completed","",MAX($Q$1:$Q221)+1))</f>
        <v/>
      </c>
      <c r="R222" s="7"/>
    </row>
    <row r="223" customFormat="false" ht="15" hidden="false" customHeight="false" outlineLevel="0" collapsed="false">
      <c r="A223" s="5" t="str">
        <f aca="false">IF($D223="","",ROW()-1)</f>
        <v/>
      </c>
      <c r="B223" s="6"/>
      <c r="C223" s="7"/>
      <c r="D223" s="7"/>
      <c r="E223" s="7"/>
      <c r="F223" s="7"/>
      <c r="G223" s="8"/>
      <c r="H223" s="6"/>
      <c r="I223" s="9"/>
      <c r="J223" s="10"/>
      <c r="K223" s="8"/>
      <c r="L223" s="6"/>
      <c r="M223" s="11" t="str">
        <f aca="true">IF($D223="","",IF($K223="Completed",IF($L223="",$H223,$L223),IF($H223="","",IF($H223&lt;TODAY(),TODAY(),$H223))))</f>
        <v/>
      </c>
      <c r="N223" s="12" t="str">
        <f aca="true">IF($D223="","",IF($K223="Completed","Completed",IF($H223="","No Due Date",IF($H223&lt;TODAY(),"Carried Forward",IF($H223=TODAY(),"Due Today","Upcoming")))))</f>
        <v/>
      </c>
      <c r="O223" s="5" t="str">
        <f aca="true">IF($D223="","",IF($I223="","",IF($K223="Completed","",$I223-TODAY())))</f>
        <v/>
      </c>
      <c r="P223" s="5" t="str">
        <f aca="true">IF($D223="","",IF($B223="","",IF($K223="Completed",IF($L223="","",$L223-$B223),TODAY()-$B223)))</f>
        <v/>
      </c>
      <c r="Q223" s="5" t="str">
        <f aca="false">IF($D223="","",IF($K223="Completed","",MAX($Q$1:$Q222)+1))</f>
        <v/>
      </c>
      <c r="R223" s="7"/>
    </row>
    <row r="224" customFormat="false" ht="15" hidden="false" customHeight="false" outlineLevel="0" collapsed="false">
      <c r="A224" s="5" t="str">
        <f aca="false">IF($D224="","",ROW()-1)</f>
        <v/>
      </c>
      <c r="B224" s="6"/>
      <c r="C224" s="7"/>
      <c r="D224" s="7"/>
      <c r="E224" s="7"/>
      <c r="F224" s="7"/>
      <c r="G224" s="8"/>
      <c r="H224" s="6"/>
      <c r="I224" s="9"/>
      <c r="J224" s="10"/>
      <c r="K224" s="8"/>
      <c r="L224" s="6"/>
      <c r="M224" s="11" t="str">
        <f aca="true">IF($D224="","",IF($K224="Completed",IF($L224="",$H224,$L224),IF($H224="","",IF($H224&lt;TODAY(),TODAY(),$H224))))</f>
        <v/>
      </c>
      <c r="N224" s="12" t="str">
        <f aca="true">IF($D224="","",IF($K224="Completed","Completed",IF($H224="","No Due Date",IF($H224&lt;TODAY(),"Carried Forward",IF($H224=TODAY(),"Due Today","Upcoming")))))</f>
        <v/>
      </c>
      <c r="O224" s="5" t="str">
        <f aca="true">IF($D224="","",IF($I224="","",IF($K224="Completed","",$I224-TODAY())))</f>
        <v/>
      </c>
      <c r="P224" s="5" t="str">
        <f aca="true">IF($D224="","",IF($B224="","",IF($K224="Completed",IF($L224="","",$L224-$B224),TODAY()-$B224)))</f>
        <v/>
      </c>
      <c r="Q224" s="5" t="str">
        <f aca="false">IF($D224="","",IF($K224="Completed","",MAX($Q$1:$Q223)+1))</f>
        <v/>
      </c>
      <c r="R224" s="7"/>
    </row>
    <row r="225" customFormat="false" ht="15" hidden="false" customHeight="false" outlineLevel="0" collapsed="false">
      <c r="A225" s="5" t="str">
        <f aca="false">IF($D225="","",ROW()-1)</f>
        <v/>
      </c>
      <c r="B225" s="6"/>
      <c r="C225" s="7"/>
      <c r="D225" s="7"/>
      <c r="E225" s="7"/>
      <c r="F225" s="7"/>
      <c r="G225" s="8"/>
      <c r="H225" s="6"/>
      <c r="I225" s="9"/>
      <c r="J225" s="10"/>
      <c r="K225" s="8"/>
      <c r="L225" s="6"/>
      <c r="M225" s="11" t="str">
        <f aca="true">IF($D225="","",IF($K225="Completed",IF($L225="",$H225,$L225),IF($H225="","",IF($H225&lt;TODAY(),TODAY(),$H225))))</f>
        <v/>
      </c>
      <c r="N225" s="12" t="str">
        <f aca="true">IF($D225="","",IF($K225="Completed","Completed",IF($H225="","No Due Date",IF($H225&lt;TODAY(),"Carried Forward",IF($H225=TODAY(),"Due Today","Upcoming")))))</f>
        <v/>
      </c>
      <c r="O225" s="5" t="str">
        <f aca="true">IF($D225="","",IF($I225="","",IF($K225="Completed","",$I225-TODAY())))</f>
        <v/>
      </c>
      <c r="P225" s="5" t="str">
        <f aca="true">IF($D225="","",IF($B225="","",IF($K225="Completed",IF($L225="","",$L225-$B225),TODAY()-$B225)))</f>
        <v/>
      </c>
      <c r="Q225" s="5" t="str">
        <f aca="false">IF($D225="","",IF($K225="Completed","",MAX($Q$1:$Q224)+1))</f>
        <v/>
      </c>
      <c r="R225" s="7"/>
    </row>
    <row r="226" customFormat="false" ht="15" hidden="false" customHeight="false" outlineLevel="0" collapsed="false">
      <c r="A226" s="5" t="str">
        <f aca="false">IF($D226="","",ROW()-1)</f>
        <v/>
      </c>
      <c r="B226" s="6"/>
      <c r="C226" s="7"/>
      <c r="D226" s="7"/>
      <c r="E226" s="7"/>
      <c r="F226" s="7"/>
      <c r="G226" s="8"/>
      <c r="H226" s="6"/>
      <c r="I226" s="9"/>
      <c r="J226" s="10"/>
      <c r="K226" s="8"/>
      <c r="L226" s="6"/>
      <c r="M226" s="11" t="str">
        <f aca="true">IF($D226="","",IF($K226="Completed",IF($L226="",$H226,$L226),IF($H226="","",IF($H226&lt;TODAY(),TODAY(),$H226))))</f>
        <v/>
      </c>
      <c r="N226" s="12" t="str">
        <f aca="true">IF($D226="","",IF($K226="Completed","Completed",IF($H226="","No Due Date",IF($H226&lt;TODAY(),"Carried Forward",IF($H226=TODAY(),"Due Today","Upcoming")))))</f>
        <v/>
      </c>
      <c r="O226" s="5" t="str">
        <f aca="true">IF($D226="","",IF($I226="","",IF($K226="Completed","",$I226-TODAY())))</f>
        <v/>
      </c>
      <c r="P226" s="5" t="str">
        <f aca="true">IF($D226="","",IF($B226="","",IF($K226="Completed",IF($L226="","",$L226-$B226),TODAY()-$B226)))</f>
        <v/>
      </c>
      <c r="Q226" s="5" t="str">
        <f aca="false">IF($D226="","",IF($K226="Completed","",MAX($Q$1:$Q225)+1))</f>
        <v/>
      </c>
      <c r="R226" s="7"/>
    </row>
    <row r="227" customFormat="false" ht="15" hidden="false" customHeight="false" outlineLevel="0" collapsed="false">
      <c r="A227" s="5" t="str">
        <f aca="false">IF($D227="","",ROW()-1)</f>
        <v/>
      </c>
      <c r="B227" s="6"/>
      <c r="C227" s="7"/>
      <c r="D227" s="7"/>
      <c r="E227" s="7"/>
      <c r="F227" s="7"/>
      <c r="G227" s="8"/>
      <c r="H227" s="6"/>
      <c r="I227" s="9"/>
      <c r="J227" s="10"/>
      <c r="K227" s="8"/>
      <c r="L227" s="6"/>
      <c r="M227" s="11" t="str">
        <f aca="true">IF($D227="","",IF($K227="Completed",IF($L227="",$H227,$L227),IF($H227="","",IF($H227&lt;TODAY(),TODAY(),$H227))))</f>
        <v/>
      </c>
      <c r="N227" s="12" t="str">
        <f aca="true">IF($D227="","",IF($K227="Completed","Completed",IF($H227="","No Due Date",IF($H227&lt;TODAY(),"Carried Forward",IF($H227=TODAY(),"Due Today","Upcoming")))))</f>
        <v/>
      </c>
      <c r="O227" s="5" t="str">
        <f aca="true">IF($D227="","",IF($I227="","",IF($K227="Completed","",$I227-TODAY())))</f>
        <v/>
      </c>
      <c r="P227" s="5" t="str">
        <f aca="true">IF($D227="","",IF($B227="","",IF($K227="Completed",IF($L227="","",$L227-$B227),TODAY()-$B227)))</f>
        <v/>
      </c>
      <c r="Q227" s="5" t="str">
        <f aca="false">IF($D227="","",IF($K227="Completed","",MAX($Q$1:$Q226)+1))</f>
        <v/>
      </c>
      <c r="R227" s="7"/>
    </row>
    <row r="228" customFormat="false" ht="15" hidden="false" customHeight="false" outlineLevel="0" collapsed="false">
      <c r="A228" s="5" t="str">
        <f aca="false">IF($D228="","",ROW()-1)</f>
        <v/>
      </c>
      <c r="B228" s="6"/>
      <c r="C228" s="7"/>
      <c r="D228" s="7"/>
      <c r="E228" s="7"/>
      <c r="F228" s="7"/>
      <c r="G228" s="8"/>
      <c r="H228" s="6"/>
      <c r="I228" s="9"/>
      <c r="J228" s="10"/>
      <c r="K228" s="8"/>
      <c r="L228" s="6"/>
      <c r="M228" s="11" t="str">
        <f aca="true">IF($D228="","",IF($K228="Completed",IF($L228="",$H228,$L228),IF($H228="","",IF($H228&lt;TODAY(),TODAY(),$H228))))</f>
        <v/>
      </c>
      <c r="N228" s="12" t="str">
        <f aca="true">IF($D228="","",IF($K228="Completed","Completed",IF($H228="","No Due Date",IF($H228&lt;TODAY(),"Carried Forward",IF($H228=TODAY(),"Due Today","Upcoming")))))</f>
        <v/>
      </c>
      <c r="O228" s="5" t="str">
        <f aca="true">IF($D228="","",IF($I228="","",IF($K228="Completed","",$I228-TODAY())))</f>
        <v/>
      </c>
      <c r="P228" s="5" t="str">
        <f aca="true">IF($D228="","",IF($B228="","",IF($K228="Completed",IF($L228="","",$L228-$B228),TODAY()-$B228)))</f>
        <v/>
      </c>
      <c r="Q228" s="5" t="str">
        <f aca="false">IF($D228="","",IF($K228="Completed","",MAX($Q$1:$Q227)+1))</f>
        <v/>
      </c>
      <c r="R228" s="7"/>
    </row>
    <row r="229" customFormat="false" ht="15" hidden="false" customHeight="false" outlineLevel="0" collapsed="false">
      <c r="A229" s="5" t="str">
        <f aca="false">IF($D229="","",ROW()-1)</f>
        <v/>
      </c>
      <c r="B229" s="6"/>
      <c r="C229" s="7"/>
      <c r="D229" s="7"/>
      <c r="E229" s="7"/>
      <c r="F229" s="7"/>
      <c r="G229" s="8"/>
      <c r="H229" s="6"/>
      <c r="I229" s="9"/>
      <c r="J229" s="10"/>
      <c r="K229" s="8"/>
      <c r="L229" s="6"/>
      <c r="M229" s="11" t="str">
        <f aca="true">IF($D229="","",IF($K229="Completed",IF($L229="",$H229,$L229),IF($H229="","",IF($H229&lt;TODAY(),TODAY(),$H229))))</f>
        <v/>
      </c>
      <c r="N229" s="12" t="str">
        <f aca="true">IF($D229="","",IF($K229="Completed","Completed",IF($H229="","No Due Date",IF($H229&lt;TODAY(),"Carried Forward",IF($H229=TODAY(),"Due Today","Upcoming")))))</f>
        <v/>
      </c>
      <c r="O229" s="5" t="str">
        <f aca="true">IF($D229="","",IF($I229="","",IF($K229="Completed","",$I229-TODAY())))</f>
        <v/>
      </c>
      <c r="P229" s="5" t="str">
        <f aca="true">IF($D229="","",IF($B229="","",IF($K229="Completed",IF($L229="","",$L229-$B229),TODAY()-$B229)))</f>
        <v/>
      </c>
      <c r="Q229" s="5" t="str">
        <f aca="false">IF($D229="","",IF($K229="Completed","",MAX($Q$1:$Q228)+1))</f>
        <v/>
      </c>
      <c r="R229" s="7"/>
    </row>
    <row r="230" customFormat="false" ht="15" hidden="false" customHeight="false" outlineLevel="0" collapsed="false">
      <c r="A230" s="5" t="str">
        <f aca="false">IF($D230="","",ROW()-1)</f>
        <v/>
      </c>
      <c r="B230" s="6"/>
      <c r="C230" s="7"/>
      <c r="D230" s="7"/>
      <c r="E230" s="7"/>
      <c r="F230" s="7"/>
      <c r="G230" s="8"/>
      <c r="H230" s="6"/>
      <c r="I230" s="9"/>
      <c r="J230" s="10"/>
      <c r="K230" s="8"/>
      <c r="L230" s="6"/>
      <c r="M230" s="11" t="str">
        <f aca="true">IF($D230="","",IF($K230="Completed",IF($L230="",$H230,$L230),IF($H230="","",IF($H230&lt;TODAY(),TODAY(),$H230))))</f>
        <v/>
      </c>
      <c r="N230" s="12" t="str">
        <f aca="true">IF($D230="","",IF($K230="Completed","Completed",IF($H230="","No Due Date",IF($H230&lt;TODAY(),"Carried Forward",IF($H230=TODAY(),"Due Today","Upcoming")))))</f>
        <v/>
      </c>
      <c r="O230" s="5" t="str">
        <f aca="true">IF($D230="","",IF($I230="","",IF($K230="Completed","",$I230-TODAY())))</f>
        <v/>
      </c>
      <c r="P230" s="5" t="str">
        <f aca="true">IF($D230="","",IF($B230="","",IF($K230="Completed",IF($L230="","",$L230-$B230),TODAY()-$B230)))</f>
        <v/>
      </c>
      <c r="Q230" s="5" t="str">
        <f aca="false">IF($D230="","",IF($K230="Completed","",MAX($Q$1:$Q229)+1))</f>
        <v/>
      </c>
      <c r="R230" s="7"/>
    </row>
    <row r="231" customFormat="false" ht="15" hidden="false" customHeight="false" outlineLevel="0" collapsed="false">
      <c r="A231" s="5" t="str">
        <f aca="false">IF($D231="","",ROW()-1)</f>
        <v/>
      </c>
      <c r="B231" s="6"/>
      <c r="C231" s="7"/>
      <c r="D231" s="7"/>
      <c r="E231" s="7"/>
      <c r="F231" s="7"/>
      <c r="G231" s="8"/>
      <c r="H231" s="6"/>
      <c r="I231" s="9"/>
      <c r="J231" s="10"/>
      <c r="K231" s="8"/>
      <c r="L231" s="6"/>
      <c r="M231" s="11" t="str">
        <f aca="true">IF($D231="","",IF($K231="Completed",IF($L231="",$H231,$L231),IF($H231="","",IF($H231&lt;TODAY(),TODAY(),$H231))))</f>
        <v/>
      </c>
      <c r="N231" s="12" t="str">
        <f aca="true">IF($D231="","",IF($K231="Completed","Completed",IF($H231="","No Due Date",IF($H231&lt;TODAY(),"Carried Forward",IF($H231=TODAY(),"Due Today","Upcoming")))))</f>
        <v/>
      </c>
      <c r="O231" s="5" t="str">
        <f aca="true">IF($D231="","",IF($I231="","",IF($K231="Completed","",$I231-TODAY())))</f>
        <v/>
      </c>
      <c r="P231" s="5" t="str">
        <f aca="true">IF($D231="","",IF($B231="","",IF($K231="Completed",IF($L231="","",$L231-$B231),TODAY()-$B231)))</f>
        <v/>
      </c>
      <c r="Q231" s="5" t="str">
        <f aca="false">IF($D231="","",IF($K231="Completed","",MAX($Q$1:$Q230)+1))</f>
        <v/>
      </c>
      <c r="R231" s="7"/>
    </row>
    <row r="232" customFormat="false" ht="15" hidden="false" customHeight="false" outlineLevel="0" collapsed="false">
      <c r="A232" s="5" t="str">
        <f aca="false">IF($D232="","",ROW()-1)</f>
        <v/>
      </c>
      <c r="B232" s="6"/>
      <c r="C232" s="7"/>
      <c r="D232" s="7"/>
      <c r="E232" s="7"/>
      <c r="F232" s="7"/>
      <c r="G232" s="8"/>
      <c r="H232" s="6"/>
      <c r="I232" s="9"/>
      <c r="J232" s="10"/>
      <c r="K232" s="8"/>
      <c r="L232" s="6"/>
      <c r="M232" s="11" t="str">
        <f aca="true">IF($D232="","",IF($K232="Completed",IF($L232="",$H232,$L232),IF($H232="","",IF($H232&lt;TODAY(),TODAY(),$H232))))</f>
        <v/>
      </c>
      <c r="N232" s="12" t="str">
        <f aca="true">IF($D232="","",IF($K232="Completed","Completed",IF($H232="","No Due Date",IF($H232&lt;TODAY(),"Carried Forward",IF($H232=TODAY(),"Due Today","Upcoming")))))</f>
        <v/>
      </c>
      <c r="O232" s="5" t="str">
        <f aca="true">IF($D232="","",IF($I232="","",IF($K232="Completed","",$I232-TODAY())))</f>
        <v/>
      </c>
      <c r="P232" s="5" t="str">
        <f aca="true">IF($D232="","",IF($B232="","",IF($K232="Completed",IF($L232="","",$L232-$B232),TODAY()-$B232)))</f>
        <v/>
      </c>
      <c r="Q232" s="5" t="str">
        <f aca="false">IF($D232="","",IF($K232="Completed","",MAX($Q$1:$Q231)+1))</f>
        <v/>
      </c>
      <c r="R232" s="7"/>
    </row>
    <row r="233" customFormat="false" ht="15" hidden="false" customHeight="false" outlineLevel="0" collapsed="false">
      <c r="A233" s="5" t="str">
        <f aca="false">IF($D233="","",ROW()-1)</f>
        <v/>
      </c>
      <c r="B233" s="6"/>
      <c r="C233" s="7"/>
      <c r="D233" s="7"/>
      <c r="E233" s="7"/>
      <c r="F233" s="7"/>
      <c r="G233" s="8"/>
      <c r="H233" s="6"/>
      <c r="I233" s="9"/>
      <c r="J233" s="10"/>
      <c r="K233" s="8"/>
      <c r="L233" s="6"/>
      <c r="M233" s="11" t="str">
        <f aca="true">IF($D233="","",IF($K233="Completed",IF($L233="",$H233,$L233),IF($H233="","",IF($H233&lt;TODAY(),TODAY(),$H233))))</f>
        <v/>
      </c>
      <c r="N233" s="12" t="str">
        <f aca="true">IF($D233="","",IF($K233="Completed","Completed",IF($H233="","No Due Date",IF($H233&lt;TODAY(),"Carried Forward",IF($H233=TODAY(),"Due Today","Upcoming")))))</f>
        <v/>
      </c>
      <c r="O233" s="5" t="str">
        <f aca="true">IF($D233="","",IF($I233="","",IF($K233="Completed","",$I233-TODAY())))</f>
        <v/>
      </c>
      <c r="P233" s="5" t="str">
        <f aca="true">IF($D233="","",IF($B233="","",IF($K233="Completed",IF($L233="","",$L233-$B233),TODAY()-$B233)))</f>
        <v/>
      </c>
      <c r="Q233" s="5" t="str">
        <f aca="false">IF($D233="","",IF($K233="Completed","",MAX($Q$1:$Q232)+1))</f>
        <v/>
      </c>
      <c r="R233" s="7"/>
    </row>
    <row r="234" customFormat="false" ht="15" hidden="false" customHeight="false" outlineLevel="0" collapsed="false">
      <c r="A234" s="5" t="str">
        <f aca="false">IF($D234="","",ROW()-1)</f>
        <v/>
      </c>
      <c r="B234" s="6"/>
      <c r="C234" s="7"/>
      <c r="D234" s="7"/>
      <c r="E234" s="7"/>
      <c r="F234" s="7"/>
      <c r="G234" s="8"/>
      <c r="H234" s="6"/>
      <c r="I234" s="9"/>
      <c r="J234" s="10"/>
      <c r="K234" s="8"/>
      <c r="L234" s="6"/>
      <c r="M234" s="11" t="str">
        <f aca="true">IF($D234="","",IF($K234="Completed",IF($L234="",$H234,$L234),IF($H234="","",IF($H234&lt;TODAY(),TODAY(),$H234))))</f>
        <v/>
      </c>
      <c r="N234" s="12" t="str">
        <f aca="true">IF($D234="","",IF($K234="Completed","Completed",IF($H234="","No Due Date",IF($H234&lt;TODAY(),"Carried Forward",IF($H234=TODAY(),"Due Today","Upcoming")))))</f>
        <v/>
      </c>
      <c r="O234" s="5" t="str">
        <f aca="true">IF($D234="","",IF($I234="","",IF($K234="Completed","",$I234-TODAY())))</f>
        <v/>
      </c>
      <c r="P234" s="5" t="str">
        <f aca="true">IF($D234="","",IF($B234="","",IF($K234="Completed",IF($L234="","",$L234-$B234),TODAY()-$B234)))</f>
        <v/>
      </c>
      <c r="Q234" s="5" t="str">
        <f aca="false">IF($D234="","",IF($K234="Completed","",MAX($Q$1:$Q233)+1))</f>
        <v/>
      </c>
      <c r="R234" s="7"/>
    </row>
    <row r="235" customFormat="false" ht="15" hidden="false" customHeight="false" outlineLevel="0" collapsed="false">
      <c r="A235" s="5" t="str">
        <f aca="false">IF($D235="","",ROW()-1)</f>
        <v/>
      </c>
      <c r="B235" s="6"/>
      <c r="C235" s="7"/>
      <c r="D235" s="7"/>
      <c r="E235" s="7"/>
      <c r="F235" s="7"/>
      <c r="G235" s="8"/>
      <c r="H235" s="6"/>
      <c r="I235" s="9"/>
      <c r="J235" s="10"/>
      <c r="K235" s="8"/>
      <c r="L235" s="6"/>
      <c r="M235" s="11" t="str">
        <f aca="true">IF($D235="","",IF($K235="Completed",IF($L235="",$H235,$L235),IF($H235="","",IF($H235&lt;TODAY(),TODAY(),$H235))))</f>
        <v/>
      </c>
      <c r="N235" s="12" t="str">
        <f aca="true">IF($D235="","",IF($K235="Completed","Completed",IF($H235="","No Due Date",IF($H235&lt;TODAY(),"Carried Forward",IF($H235=TODAY(),"Due Today","Upcoming")))))</f>
        <v/>
      </c>
      <c r="O235" s="5" t="str">
        <f aca="true">IF($D235="","",IF($I235="","",IF($K235="Completed","",$I235-TODAY())))</f>
        <v/>
      </c>
      <c r="P235" s="5" t="str">
        <f aca="true">IF($D235="","",IF($B235="","",IF($K235="Completed",IF($L235="","",$L235-$B235),TODAY()-$B235)))</f>
        <v/>
      </c>
      <c r="Q235" s="5" t="str">
        <f aca="false">IF($D235="","",IF($K235="Completed","",MAX($Q$1:$Q234)+1))</f>
        <v/>
      </c>
      <c r="R235" s="7"/>
    </row>
    <row r="236" customFormat="false" ht="15" hidden="false" customHeight="false" outlineLevel="0" collapsed="false">
      <c r="A236" s="5" t="str">
        <f aca="false">IF($D236="","",ROW()-1)</f>
        <v/>
      </c>
      <c r="B236" s="6"/>
      <c r="C236" s="7"/>
      <c r="D236" s="7"/>
      <c r="E236" s="7"/>
      <c r="F236" s="7"/>
      <c r="G236" s="8"/>
      <c r="H236" s="6"/>
      <c r="I236" s="9"/>
      <c r="J236" s="10"/>
      <c r="K236" s="8"/>
      <c r="L236" s="6"/>
      <c r="M236" s="11" t="str">
        <f aca="true">IF($D236="","",IF($K236="Completed",IF($L236="",$H236,$L236),IF($H236="","",IF($H236&lt;TODAY(),TODAY(),$H236))))</f>
        <v/>
      </c>
      <c r="N236" s="12" t="str">
        <f aca="true">IF($D236="","",IF($K236="Completed","Completed",IF($H236="","No Due Date",IF($H236&lt;TODAY(),"Carried Forward",IF($H236=TODAY(),"Due Today","Upcoming")))))</f>
        <v/>
      </c>
      <c r="O236" s="5" t="str">
        <f aca="true">IF($D236="","",IF($I236="","",IF($K236="Completed","",$I236-TODAY())))</f>
        <v/>
      </c>
      <c r="P236" s="5" t="str">
        <f aca="true">IF($D236="","",IF($B236="","",IF($K236="Completed",IF($L236="","",$L236-$B236),TODAY()-$B236)))</f>
        <v/>
      </c>
      <c r="Q236" s="5" t="str">
        <f aca="false">IF($D236="","",IF($K236="Completed","",MAX($Q$1:$Q235)+1))</f>
        <v/>
      </c>
      <c r="R236" s="7"/>
    </row>
    <row r="237" customFormat="false" ht="15" hidden="false" customHeight="false" outlineLevel="0" collapsed="false">
      <c r="A237" s="5" t="str">
        <f aca="false">IF($D237="","",ROW()-1)</f>
        <v/>
      </c>
      <c r="B237" s="6"/>
      <c r="C237" s="7"/>
      <c r="D237" s="7"/>
      <c r="E237" s="7"/>
      <c r="F237" s="7"/>
      <c r="G237" s="8"/>
      <c r="H237" s="6"/>
      <c r="I237" s="9"/>
      <c r="J237" s="10"/>
      <c r="K237" s="8"/>
      <c r="L237" s="6"/>
      <c r="M237" s="11" t="str">
        <f aca="true">IF($D237="","",IF($K237="Completed",IF($L237="",$H237,$L237),IF($H237="","",IF($H237&lt;TODAY(),TODAY(),$H237))))</f>
        <v/>
      </c>
      <c r="N237" s="12" t="str">
        <f aca="true">IF($D237="","",IF($K237="Completed","Completed",IF($H237="","No Due Date",IF($H237&lt;TODAY(),"Carried Forward",IF($H237=TODAY(),"Due Today","Upcoming")))))</f>
        <v/>
      </c>
      <c r="O237" s="5" t="str">
        <f aca="true">IF($D237="","",IF($I237="","",IF($K237="Completed","",$I237-TODAY())))</f>
        <v/>
      </c>
      <c r="P237" s="5" t="str">
        <f aca="true">IF($D237="","",IF($B237="","",IF($K237="Completed",IF($L237="","",$L237-$B237),TODAY()-$B237)))</f>
        <v/>
      </c>
      <c r="Q237" s="5" t="str">
        <f aca="false">IF($D237="","",IF($K237="Completed","",MAX($Q$1:$Q236)+1))</f>
        <v/>
      </c>
      <c r="R237" s="7"/>
    </row>
    <row r="238" customFormat="false" ht="15" hidden="false" customHeight="false" outlineLevel="0" collapsed="false">
      <c r="A238" s="5" t="str">
        <f aca="false">IF($D238="","",ROW()-1)</f>
        <v/>
      </c>
      <c r="B238" s="6"/>
      <c r="C238" s="7"/>
      <c r="D238" s="7"/>
      <c r="E238" s="7"/>
      <c r="F238" s="7"/>
      <c r="G238" s="8"/>
      <c r="H238" s="6"/>
      <c r="I238" s="9"/>
      <c r="J238" s="10"/>
      <c r="K238" s="8"/>
      <c r="L238" s="6"/>
      <c r="M238" s="11" t="str">
        <f aca="true">IF($D238="","",IF($K238="Completed",IF($L238="",$H238,$L238),IF($H238="","",IF($H238&lt;TODAY(),TODAY(),$H238))))</f>
        <v/>
      </c>
      <c r="N238" s="12" t="str">
        <f aca="true">IF($D238="","",IF($K238="Completed","Completed",IF($H238="","No Due Date",IF($H238&lt;TODAY(),"Carried Forward",IF($H238=TODAY(),"Due Today","Upcoming")))))</f>
        <v/>
      </c>
      <c r="O238" s="5" t="str">
        <f aca="true">IF($D238="","",IF($I238="","",IF($K238="Completed","",$I238-TODAY())))</f>
        <v/>
      </c>
      <c r="P238" s="5" t="str">
        <f aca="true">IF($D238="","",IF($B238="","",IF($K238="Completed",IF($L238="","",$L238-$B238),TODAY()-$B238)))</f>
        <v/>
      </c>
      <c r="Q238" s="5" t="str">
        <f aca="false">IF($D238="","",IF($K238="Completed","",MAX($Q$1:$Q237)+1))</f>
        <v/>
      </c>
      <c r="R238" s="7"/>
    </row>
    <row r="239" customFormat="false" ht="15" hidden="false" customHeight="false" outlineLevel="0" collapsed="false">
      <c r="A239" s="5" t="str">
        <f aca="false">IF($D239="","",ROW()-1)</f>
        <v/>
      </c>
      <c r="B239" s="6"/>
      <c r="C239" s="7"/>
      <c r="D239" s="7"/>
      <c r="E239" s="7"/>
      <c r="F239" s="7"/>
      <c r="G239" s="8"/>
      <c r="H239" s="6"/>
      <c r="I239" s="9"/>
      <c r="J239" s="10"/>
      <c r="K239" s="8"/>
      <c r="L239" s="6"/>
      <c r="M239" s="11" t="str">
        <f aca="true">IF($D239="","",IF($K239="Completed",IF($L239="",$H239,$L239),IF($H239="","",IF($H239&lt;TODAY(),TODAY(),$H239))))</f>
        <v/>
      </c>
      <c r="N239" s="12" t="str">
        <f aca="true">IF($D239="","",IF($K239="Completed","Completed",IF($H239="","No Due Date",IF($H239&lt;TODAY(),"Carried Forward",IF($H239=TODAY(),"Due Today","Upcoming")))))</f>
        <v/>
      </c>
      <c r="O239" s="5" t="str">
        <f aca="true">IF($D239="","",IF($I239="","",IF($K239="Completed","",$I239-TODAY())))</f>
        <v/>
      </c>
      <c r="P239" s="5" t="str">
        <f aca="true">IF($D239="","",IF($B239="","",IF($K239="Completed",IF($L239="","",$L239-$B239),TODAY()-$B239)))</f>
        <v/>
      </c>
      <c r="Q239" s="5" t="str">
        <f aca="false">IF($D239="","",IF($K239="Completed","",MAX($Q$1:$Q238)+1))</f>
        <v/>
      </c>
      <c r="R239" s="7"/>
    </row>
    <row r="240" customFormat="false" ht="15" hidden="false" customHeight="false" outlineLevel="0" collapsed="false">
      <c r="A240" s="5" t="str">
        <f aca="false">IF($D240="","",ROW()-1)</f>
        <v/>
      </c>
      <c r="B240" s="6"/>
      <c r="C240" s="7"/>
      <c r="D240" s="7"/>
      <c r="E240" s="7"/>
      <c r="F240" s="7"/>
      <c r="G240" s="8"/>
      <c r="H240" s="6"/>
      <c r="I240" s="9"/>
      <c r="J240" s="10"/>
      <c r="K240" s="8"/>
      <c r="L240" s="6"/>
      <c r="M240" s="11" t="str">
        <f aca="true">IF($D240="","",IF($K240="Completed",IF($L240="",$H240,$L240),IF($H240="","",IF($H240&lt;TODAY(),TODAY(),$H240))))</f>
        <v/>
      </c>
      <c r="N240" s="12" t="str">
        <f aca="true">IF($D240="","",IF($K240="Completed","Completed",IF($H240="","No Due Date",IF($H240&lt;TODAY(),"Carried Forward",IF($H240=TODAY(),"Due Today","Upcoming")))))</f>
        <v/>
      </c>
      <c r="O240" s="5" t="str">
        <f aca="true">IF($D240="","",IF($I240="","",IF($K240="Completed","",$I240-TODAY())))</f>
        <v/>
      </c>
      <c r="P240" s="5" t="str">
        <f aca="true">IF($D240="","",IF($B240="","",IF($K240="Completed",IF($L240="","",$L240-$B240),TODAY()-$B240)))</f>
        <v/>
      </c>
      <c r="Q240" s="5" t="str">
        <f aca="false">IF($D240="","",IF($K240="Completed","",MAX($Q$1:$Q239)+1))</f>
        <v/>
      </c>
      <c r="R240" s="7"/>
    </row>
    <row r="241" customFormat="false" ht="15" hidden="false" customHeight="false" outlineLevel="0" collapsed="false">
      <c r="A241" s="5" t="str">
        <f aca="false">IF($D241="","",ROW()-1)</f>
        <v/>
      </c>
      <c r="B241" s="6"/>
      <c r="C241" s="7"/>
      <c r="D241" s="7"/>
      <c r="E241" s="7"/>
      <c r="F241" s="7"/>
      <c r="G241" s="8"/>
      <c r="H241" s="6"/>
      <c r="I241" s="9"/>
      <c r="J241" s="10"/>
      <c r="K241" s="8"/>
      <c r="L241" s="6"/>
      <c r="M241" s="11" t="str">
        <f aca="true">IF($D241="","",IF($K241="Completed",IF($L241="",$H241,$L241),IF($H241="","",IF($H241&lt;TODAY(),TODAY(),$H241))))</f>
        <v/>
      </c>
      <c r="N241" s="12" t="str">
        <f aca="true">IF($D241="","",IF($K241="Completed","Completed",IF($H241="","No Due Date",IF($H241&lt;TODAY(),"Carried Forward",IF($H241=TODAY(),"Due Today","Upcoming")))))</f>
        <v/>
      </c>
      <c r="O241" s="5" t="str">
        <f aca="true">IF($D241="","",IF($I241="","",IF($K241="Completed","",$I241-TODAY())))</f>
        <v/>
      </c>
      <c r="P241" s="5" t="str">
        <f aca="true">IF($D241="","",IF($B241="","",IF($K241="Completed",IF($L241="","",$L241-$B241),TODAY()-$B241)))</f>
        <v/>
      </c>
      <c r="Q241" s="5" t="str">
        <f aca="false">IF($D241="","",IF($K241="Completed","",MAX($Q$1:$Q240)+1))</f>
        <v/>
      </c>
      <c r="R241" s="7"/>
    </row>
    <row r="242" customFormat="false" ht="15" hidden="false" customHeight="false" outlineLevel="0" collapsed="false">
      <c r="A242" s="5" t="str">
        <f aca="false">IF($D242="","",ROW()-1)</f>
        <v/>
      </c>
      <c r="B242" s="6"/>
      <c r="C242" s="7"/>
      <c r="D242" s="7"/>
      <c r="E242" s="7"/>
      <c r="F242" s="7"/>
      <c r="G242" s="8"/>
      <c r="H242" s="6"/>
      <c r="I242" s="9"/>
      <c r="J242" s="10"/>
      <c r="K242" s="8"/>
      <c r="L242" s="6"/>
      <c r="M242" s="11" t="str">
        <f aca="true">IF($D242="","",IF($K242="Completed",IF($L242="",$H242,$L242),IF($H242="","",IF($H242&lt;TODAY(),TODAY(),$H242))))</f>
        <v/>
      </c>
      <c r="N242" s="12" t="str">
        <f aca="true">IF($D242="","",IF($K242="Completed","Completed",IF($H242="","No Due Date",IF($H242&lt;TODAY(),"Carried Forward",IF($H242=TODAY(),"Due Today","Upcoming")))))</f>
        <v/>
      </c>
      <c r="O242" s="5" t="str">
        <f aca="true">IF($D242="","",IF($I242="","",IF($K242="Completed","",$I242-TODAY())))</f>
        <v/>
      </c>
      <c r="P242" s="5" t="str">
        <f aca="true">IF($D242="","",IF($B242="","",IF($K242="Completed",IF($L242="","",$L242-$B242),TODAY()-$B242)))</f>
        <v/>
      </c>
      <c r="Q242" s="5" t="str">
        <f aca="false">IF($D242="","",IF($K242="Completed","",MAX($Q$1:$Q241)+1))</f>
        <v/>
      </c>
      <c r="R242" s="7"/>
    </row>
    <row r="243" customFormat="false" ht="15" hidden="false" customHeight="false" outlineLevel="0" collapsed="false">
      <c r="A243" s="5" t="str">
        <f aca="false">IF($D243="","",ROW()-1)</f>
        <v/>
      </c>
      <c r="B243" s="6"/>
      <c r="C243" s="7"/>
      <c r="D243" s="7"/>
      <c r="E243" s="7"/>
      <c r="F243" s="7"/>
      <c r="G243" s="8"/>
      <c r="H243" s="6"/>
      <c r="I243" s="9"/>
      <c r="J243" s="10"/>
      <c r="K243" s="8"/>
      <c r="L243" s="6"/>
      <c r="M243" s="11" t="str">
        <f aca="true">IF($D243="","",IF($K243="Completed",IF($L243="",$H243,$L243),IF($H243="","",IF($H243&lt;TODAY(),TODAY(),$H243))))</f>
        <v/>
      </c>
      <c r="N243" s="12" t="str">
        <f aca="true">IF($D243="","",IF($K243="Completed","Completed",IF($H243="","No Due Date",IF($H243&lt;TODAY(),"Carried Forward",IF($H243=TODAY(),"Due Today","Upcoming")))))</f>
        <v/>
      </c>
      <c r="O243" s="5" t="str">
        <f aca="true">IF($D243="","",IF($I243="","",IF($K243="Completed","",$I243-TODAY())))</f>
        <v/>
      </c>
      <c r="P243" s="5" t="str">
        <f aca="true">IF($D243="","",IF($B243="","",IF($K243="Completed",IF($L243="","",$L243-$B243),TODAY()-$B243)))</f>
        <v/>
      </c>
      <c r="Q243" s="5" t="str">
        <f aca="false">IF($D243="","",IF($K243="Completed","",MAX($Q$1:$Q242)+1))</f>
        <v/>
      </c>
      <c r="R243" s="7"/>
    </row>
    <row r="244" customFormat="false" ht="15" hidden="false" customHeight="false" outlineLevel="0" collapsed="false">
      <c r="A244" s="5" t="str">
        <f aca="false">IF($D244="","",ROW()-1)</f>
        <v/>
      </c>
      <c r="B244" s="6"/>
      <c r="C244" s="7"/>
      <c r="D244" s="7"/>
      <c r="E244" s="7"/>
      <c r="F244" s="7"/>
      <c r="G244" s="8"/>
      <c r="H244" s="6"/>
      <c r="I244" s="9"/>
      <c r="J244" s="10"/>
      <c r="K244" s="8"/>
      <c r="L244" s="6"/>
      <c r="M244" s="11" t="str">
        <f aca="true">IF($D244="","",IF($K244="Completed",IF($L244="",$H244,$L244),IF($H244="","",IF($H244&lt;TODAY(),TODAY(),$H244))))</f>
        <v/>
      </c>
      <c r="N244" s="12" t="str">
        <f aca="true">IF($D244="","",IF($K244="Completed","Completed",IF($H244="","No Due Date",IF($H244&lt;TODAY(),"Carried Forward",IF($H244=TODAY(),"Due Today","Upcoming")))))</f>
        <v/>
      </c>
      <c r="O244" s="5" t="str">
        <f aca="true">IF($D244="","",IF($I244="","",IF($K244="Completed","",$I244-TODAY())))</f>
        <v/>
      </c>
      <c r="P244" s="5" t="str">
        <f aca="true">IF($D244="","",IF($B244="","",IF($K244="Completed",IF($L244="","",$L244-$B244),TODAY()-$B244)))</f>
        <v/>
      </c>
      <c r="Q244" s="5" t="str">
        <f aca="false">IF($D244="","",IF($K244="Completed","",MAX($Q$1:$Q243)+1))</f>
        <v/>
      </c>
      <c r="R244" s="7"/>
    </row>
    <row r="245" customFormat="false" ht="15" hidden="false" customHeight="false" outlineLevel="0" collapsed="false">
      <c r="A245" s="5" t="str">
        <f aca="false">IF($D245="","",ROW()-1)</f>
        <v/>
      </c>
      <c r="B245" s="6"/>
      <c r="C245" s="7"/>
      <c r="D245" s="7"/>
      <c r="E245" s="7"/>
      <c r="F245" s="7"/>
      <c r="G245" s="8"/>
      <c r="H245" s="6"/>
      <c r="I245" s="9"/>
      <c r="J245" s="10"/>
      <c r="K245" s="8"/>
      <c r="L245" s="6"/>
      <c r="M245" s="11" t="str">
        <f aca="true">IF($D245="","",IF($K245="Completed",IF($L245="",$H245,$L245),IF($H245="","",IF($H245&lt;TODAY(),TODAY(),$H245))))</f>
        <v/>
      </c>
      <c r="N245" s="12" t="str">
        <f aca="true">IF($D245="","",IF($K245="Completed","Completed",IF($H245="","No Due Date",IF($H245&lt;TODAY(),"Carried Forward",IF($H245=TODAY(),"Due Today","Upcoming")))))</f>
        <v/>
      </c>
      <c r="O245" s="5" t="str">
        <f aca="true">IF($D245="","",IF($I245="","",IF($K245="Completed","",$I245-TODAY())))</f>
        <v/>
      </c>
      <c r="P245" s="5" t="str">
        <f aca="true">IF($D245="","",IF($B245="","",IF($K245="Completed",IF($L245="","",$L245-$B245),TODAY()-$B245)))</f>
        <v/>
      </c>
      <c r="Q245" s="5" t="str">
        <f aca="false">IF($D245="","",IF($K245="Completed","",MAX($Q$1:$Q244)+1))</f>
        <v/>
      </c>
      <c r="R245" s="7"/>
    </row>
    <row r="246" customFormat="false" ht="15" hidden="false" customHeight="false" outlineLevel="0" collapsed="false">
      <c r="A246" s="5" t="str">
        <f aca="false">IF($D246="","",ROW()-1)</f>
        <v/>
      </c>
      <c r="B246" s="6"/>
      <c r="C246" s="7"/>
      <c r="D246" s="7"/>
      <c r="E246" s="7"/>
      <c r="F246" s="7"/>
      <c r="G246" s="8"/>
      <c r="H246" s="6"/>
      <c r="I246" s="9"/>
      <c r="J246" s="10"/>
      <c r="K246" s="8"/>
      <c r="L246" s="6"/>
      <c r="M246" s="11" t="str">
        <f aca="true">IF($D246="","",IF($K246="Completed",IF($L246="",$H246,$L246),IF($H246="","",IF($H246&lt;TODAY(),TODAY(),$H246))))</f>
        <v/>
      </c>
      <c r="N246" s="12" t="str">
        <f aca="true">IF($D246="","",IF($K246="Completed","Completed",IF($H246="","No Due Date",IF($H246&lt;TODAY(),"Carried Forward",IF($H246=TODAY(),"Due Today","Upcoming")))))</f>
        <v/>
      </c>
      <c r="O246" s="5" t="str">
        <f aca="true">IF($D246="","",IF($I246="","",IF($K246="Completed","",$I246-TODAY())))</f>
        <v/>
      </c>
      <c r="P246" s="5" t="str">
        <f aca="true">IF($D246="","",IF($B246="","",IF($K246="Completed",IF($L246="","",$L246-$B246),TODAY()-$B246)))</f>
        <v/>
      </c>
      <c r="Q246" s="5" t="str">
        <f aca="false">IF($D246="","",IF($K246="Completed","",MAX($Q$1:$Q245)+1))</f>
        <v/>
      </c>
      <c r="R246" s="7"/>
    </row>
    <row r="247" customFormat="false" ht="15" hidden="false" customHeight="false" outlineLevel="0" collapsed="false">
      <c r="A247" s="5" t="str">
        <f aca="false">IF($D247="","",ROW()-1)</f>
        <v/>
      </c>
      <c r="B247" s="6"/>
      <c r="C247" s="7"/>
      <c r="D247" s="7"/>
      <c r="E247" s="7"/>
      <c r="F247" s="7"/>
      <c r="G247" s="8"/>
      <c r="H247" s="6"/>
      <c r="I247" s="9"/>
      <c r="J247" s="10"/>
      <c r="K247" s="8"/>
      <c r="L247" s="6"/>
      <c r="M247" s="11" t="str">
        <f aca="true">IF($D247="","",IF($K247="Completed",IF($L247="",$H247,$L247),IF($H247="","",IF($H247&lt;TODAY(),TODAY(),$H247))))</f>
        <v/>
      </c>
      <c r="N247" s="12" t="str">
        <f aca="true">IF($D247="","",IF($K247="Completed","Completed",IF($H247="","No Due Date",IF($H247&lt;TODAY(),"Carried Forward",IF($H247=TODAY(),"Due Today","Upcoming")))))</f>
        <v/>
      </c>
      <c r="O247" s="5" t="str">
        <f aca="true">IF($D247="","",IF($I247="","",IF($K247="Completed","",$I247-TODAY())))</f>
        <v/>
      </c>
      <c r="P247" s="5" t="str">
        <f aca="true">IF($D247="","",IF($B247="","",IF($K247="Completed",IF($L247="","",$L247-$B247),TODAY()-$B247)))</f>
        <v/>
      </c>
      <c r="Q247" s="5" t="str">
        <f aca="false">IF($D247="","",IF($K247="Completed","",MAX($Q$1:$Q246)+1))</f>
        <v/>
      </c>
      <c r="R247" s="7"/>
    </row>
    <row r="248" customFormat="false" ht="15" hidden="false" customHeight="false" outlineLevel="0" collapsed="false">
      <c r="A248" s="5" t="str">
        <f aca="false">IF($D248="","",ROW()-1)</f>
        <v/>
      </c>
      <c r="B248" s="6"/>
      <c r="C248" s="7"/>
      <c r="D248" s="7"/>
      <c r="E248" s="7"/>
      <c r="F248" s="7"/>
      <c r="G248" s="8"/>
      <c r="H248" s="6"/>
      <c r="I248" s="9"/>
      <c r="J248" s="10"/>
      <c r="K248" s="8"/>
      <c r="L248" s="6"/>
      <c r="M248" s="11" t="str">
        <f aca="true">IF($D248="","",IF($K248="Completed",IF($L248="",$H248,$L248),IF($H248="","",IF($H248&lt;TODAY(),TODAY(),$H248))))</f>
        <v/>
      </c>
      <c r="N248" s="12" t="str">
        <f aca="true">IF($D248="","",IF($K248="Completed","Completed",IF($H248="","No Due Date",IF($H248&lt;TODAY(),"Carried Forward",IF($H248=TODAY(),"Due Today","Upcoming")))))</f>
        <v/>
      </c>
      <c r="O248" s="5" t="str">
        <f aca="true">IF($D248="","",IF($I248="","",IF($K248="Completed","",$I248-TODAY())))</f>
        <v/>
      </c>
      <c r="P248" s="5" t="str">
        <f aca="true">IF($D248="","",IF($B248="","",IF($K248="Completed",IF($L248="","",$L248-$B248),TODAY()-$B248)))</f>
        <v/>
      </c>
      <c r="Q248" s="5" t="str">
        <f aca="false">IF($D248="","",IF($K248="Completed","",MAX($Q$1:$Q247)+1))</f>
        <v/>
      </c>
      <c r="R248" s="7"/>
    </row>
    <row r="249" customFormat="false" ht="15" hidden="false" customHeight="false" outlineLevel="0" collapsed="false">
      <c r="A249" s="5" t="str">
        <f aca="false">IF($D249="","",ROW()-1)</f>
        <v/>
      </c>
      <c r="B249" s="6"/>
      <c r="C249" s="7"/>
      <c r="D249" s="7"/>
      <c r="E249" s="7"/>
      <c r="F249" s="7"/>
      <c r="G249" s="8"/>
      <c r="H249" s="6"/>
      <c r="I249" s="9"/>
      <c r="J249" s="10"/>
      <c r="K249" s="8"/>
      <c r="L249" s="6"/>
      <c r="M249" s="11" t="str">
        <f aca="true">IF($D249="","",IF($K249="Completed",IF($L249="",$H249,$L249),IF($H249="","",IF($H249&lt;TODAY(),TODAY(),$H249))))</f>
        <v/>
      </c>
      <c r="N249" s="12" t="str">
        <f aca="true">IF($D249="","",IF($K249="Completed","Completed",IF($H249="","No Due Date",IF($H249&lt;TODAY(),"Carried Forward",IF($H249=TODAY(),"Due Today","Upcoming")))))</f>
        <v/>
      </c>
      <c r="O249" s="5" t="str">
        <f aca="true">IF($D249="","",IF($I249="","",IF($K249="Completed","",$I249-TODAY())))</f>
        <v/>
      </c>
      <c r="P249" s="5" t="str">
        <f aca="true">IF($D249="","",IF($B249="","",IF($K249="Completed",IF($L249="","",$L249-$B249),TODAY()-$B249)))</f>
        <v/>
      </c>
      <c r="Q249" s="5" t="str">
        <f aca="false">IF($D249="","",IF($K249="Completed","",MAX($Q$1:$Q248)+1))</f>
        <v/>
      </c>
      <c r="R249" s="7"/>
    </row>
    <row r="250" customFormat="false" ht="15" hidden="false" customHeight="false" outlineLevel="0" collapsed="false">
      <c r="A250" s="5" t="str">
        <f aca="false">IF($D250="","",ROW()-1)</f>
        <v/>
      </c>
      <c r="B250" s="6"/>
      <c r="C250" s="7"/>
      <c r="D250" s="7"/>
      <c r="E250" s="7"/>
      <c r="F250" s="7"/>
      <c r="G250" s="8"/>
      <c r="H250" s="6"/>
      <c r="I250" s="9"/>
      <c r="J250" s="10"/>
      <c r="K250" s="8"/>
      <c r="L250" s="6"/>
      <c r="M250" s="11" t="str">
        <f aca="true">IF($D250="","",IF($K250="Completed",IF($L250="",$H250,$L250),IF($H250="","",IF($H250&lt;TODAY(),TODAY(),$H250))))</f>
        <v/>
      </c>
      <c r="N250" s="12" t="str">
        <f aca="true">IF($D250="","",IF($K250="Completed","Completed",IF($H250="","No Due Date",IF($H250&lt;TODAY(),"Carried Forward",IF($H250=TODAY(),"Due Today","Upcoming")))))</f>
        <v/>
      </c>
      <c r="O250" s="5" t="str">
        <f aca="true">IF($D250="","",IF($I250="","",IF($K250="Completed","",$I250-TODAY())))</f>
        <v/>
      </c>
      <c r="P250" s="5" t="str">
        <f aca="true">IF($D250="","",IF($B250="","",IF($K250="Completed",IF($L250="","",$L250-$B250),TODAY()-$B250)))</f>
        <v/>
      </c>
      <c r="Q250" s="5" t="str">
        <f aca="false">IF($D250="","",IF($K250="Completed","",MAX($Q$1:$Q249)+1))</f>
        <v/>
      </c>
      <c r="R250" s="7"/>
    </row>
    <row r="251" customFormat="false" ht="15" hidden="false" customHeight="false" outlineLevel="0" collapsed="false">
      <c r="A251" s="5" t="str">
        <f aca="false">IF($D251="","",ROW()-1)</f>
        <v/>
      </c>
      <c r="B251" s="6"/>
      <c r="C251" s="7"/>
      <c r="D251" s="7"/>
      <c r="E251" s="7"/>
      <c r="F251" s="7"/>
      <c r="G251" s="8"/>
      <c r="H251" s="6"/>
      <c r="I251" s="9"/>
      <c r="J251" s="10"/>
      <c r="K251" s="8"/>
      <c r="L251" s="6"/>
      <c r="M251" s="11" t="str">
        <f aca="true">IF($D251="","",IF($K251="Completed",IF($L251="",$H251,$L251),IF($H251="","",IF($H251&lt;TODAY(),TODAY(),$H251))))</f>
        <v/>
      </c>
      <c r="N251" s="12" t="str">
        <f aca="true">IF($D251="","",IF($K251="Completed","Completed",IF($H251="","No Due Date",IF($H251&lt;TODAY(),"Carried Forward",IF($H251=TODAY(),"Due Today","Upcoming")))))</f>
        <v/>
      </c>
      <c r="O251" s="5" t="str">
        <f aca="true">IF($D251="","",IF($I251="","",IF($K251="Completed","",$I251-TODAY())))</f>
        <v/>
      </c>
      <c r="P251" s="5" t="str">
        <f aca="true">IF($D251="","",IF($B251="","",IF($K251="Completed",IF($L251="","",$L251-$B251),TODAY()-$B251)))</f>
        <v/>
      </c>
      <c r="Q251" s="5" t="str">
        <f aca="false">IF($D251="","",IF($K251="Completed","",MAX($Q$1:$Q250)+1))</f>
        <v/>
      </c>
      <c r="R251" s="7"/>
    </row>
    <row r="252" customFormat="false" ht="15" hidden="false" customHeight="false" outlineLevel="0" collapsed="false">
      <c r="A252" s="5" t="str">
        <f aca="false">IF($D252="","",ROW()-1)</f>
        <v/>
      </c>
      <c r="B252" s="6"/>
      <c r="C252" s="7"/>
      <c r="D252" s="7"/>
      <c r="E252" s="7"/>
      <c r="F252" s="7"/>
      <c r="G252" s="8"/>
      <c r="H252" s="6"/>
      <c r="I252" s="9"/>
      <c r="J252" s="10"/>
      <c r="K252" s="8"/>
      <c r="L252" s="6"/>
      <c r="M252" s="11" t="str">
        <f aca="true">IF($D252="","",IF($K252="Completed",IF($L252="",$H252,$L252),IF($H252="","",IF($H252&lt;TODAY(),TODAY(),$H252))))</f>
        <v/>
      </c>
      <c r="N252" s="12" t="str">
        <f aca="true">IF($D252="","",IF($K252="Completed","Completed",IF($H252="","No Due Date",IF($H252&lt;TODAY(),"Carried Forward",IF($H252=TODAY(),"Due Today","Upcoming")))))</f>
        <v/>
      </c>
      <c r="O252" s="5" t="str">
        <f aca="true">IF($D252="","",IF($I252="","",IF($K252="Completed","",$I252-TODAY())))</f>
        <v/>
      </c>
      <c r="P252" s="5" t="str">
        <f aca="true">IF($D252="","",IF($B252="","",IF($K252="Completed",IF($L252="","",$L252-$B252),TODAY()-$B252)))</f>
        <v/>
      </c>
      <c r="Q252" s="5" t="str">
        <f aca="false">IF($D252="","",IF($K252="Completed","",MAX($Q$1:$Q251)+1))</f>
        <v/>
      </c>
      <c r="R252" s="7"/>
    </row>
    <row r="253" customFormat="false" ht="15" hidden="false" customHeight="false" outlineLevel="0" collapsed="false">
      <c r="A253" s="5" t="str">
        <f aca="false">IF($D253="","",ROW()-1)</f>
        <v/>
      </c>
      <c r="B253" s="6"/>
      <c r="C253" s="7"/>
      <c r="D253" s="7"/>
      <c r="E253" s="7"/>
      <c r="F253" s="7"/>
      <c r="G253" s="8"/>
      <c r="H253" s="6"/>
      <c r="I253" s="9"/>
      <c r="J253" s="10"/>
      <c r="K253" s="8"/>
      <c r="L253" s="6"/>
      <c r="M253" s="11" t="str">
        <f aca="true">IF($D253="","",IF($K253="Completed",IF($L253="",$H253,$L253),IF($H253="","",IF($H253&lt;TODAY(),TODAY(),$H253))))</f>
        <v/>
      </c>
      <c r="N253" s="12" t="str">
        <f aca="true">IF($D253="","",IF($K253="Completed","Completed",IF($H253="","No Due Date",IF($H253&lt;TODAY(),"Carried Forward",IF($H253=TODAY(),"Due Today","Upcoming")))))</f>
        <v/>
      </c>
      <c r="O253" s="5" t="str">
        <f aca="true">IF($D253="","",IF($I253="","",IF($K253="Completed","",$I253-TODAY())))</f>
        <v/>
      </c>
      <c r="P253" s="5" t="str">
        <f aca="true">IF($D253="","",IF($B253="","",IF($K253="Completed",IF($L253="","",$L253-$B253),TODAY()-$B253)))</f>
        <v/>
      </c>
      <c r="Q253" s="5" t="str">
        <f aca="false">IF($D253="","",IF($K253="Completed","",MAX($Q$1:$Q252)+1))</f>
        <v/>
      </c>
      <c r="R253" s="7"/>
    </row>
    <row r="254" customFormat="false" ht="15" hidden="false" customHeight="false" outlineLevel="0" collapsed="false">
      <c r="A254" s="5" t="str">
        <f aca="false">IF($D254="","",ROW()-1)</f>
        <v/>
      </c>
      <c r="B254" s="6"/>
      <c r="C254" s="7"/>
      <c r="D254" s="7"/>
      <c r="E254" s="7"/>
      <c r="F254" s="7"/>
      <c r="G254" s="8"/>
      <c r="H254" s="6"/>
      <c r="I254" s="9"/>
      <c r="J254" s="10"/>
      <c r="K254" s="8"/>
      <c r="L254" s="6"/>
      <c r="M254" s="11" t="str">
        <f aca="true">IF($D254="","",IF($K254="Completed",IF($L254="",$H254,$L254),IF($H254="","",IF($H254&lt;TODAY(),TODAY(),$H254))))</f>
        <v/>
      </c>
      <c r="N254" s="12" t="str">
        <f aca="true">IF($D254="","",IF($K254="Completed","Completed",IF($H254="","No Due Date",IF($H254&lt;TODAY(),"Carried Forward",IF($H254=TODAY(),"Due Today","Upcoming")))))</f>
        <v/>
      </c>
      <c r="O254" s="5" t="str">
        <f aca="true">IF($D254="","",IF($I254="","",IF($K254="Completed","",$I254-TODAY())))</f>
        <v/>
      </c>
      <c r="P254" s="5" t="str">
        <f aca="true">IF($D254="","",IF($B254="","",IF($K254="Completed",IF($L254="","",$L254-$B254),TODAY()-$B254)))</f>
        <v/>
      </c>
      <c r="Q254" s="5" t="str">
        <f aca="false">IF($D254="","",IF($K254="Completed","",MAX($Q$1:$Q253)+1))</f>
        <v/>
      </c>
      <c r="R254" s="7"/>
    </row>
    <row r="255" customFormat="false" ht="15" hidden="false" customHeight="false" outlineLevel="0" collapsed="false">
      <c r="A255" s="5" t="str">
        <f aca="false">IF($D255="","",ROW()-1)</f>
        <v/>
      </c>
      <c r="B255" s="6"/>
      <c r="C255" s="7"/>
      <c r="D255" s="7"/>
      <c r="E255" s="7"/>
      <c r="F255" s="7"/>
      <c r="G255" s="8"/>
      <c r="H255" s="6"/>
      <c r="I255" s="9"/>
      <c r="J255" s="10"/>
      <c r="K255" s="8"/>
      <c r="L255" s="6"/>
      <c r="M255" s="11" t="str">
        <f aca="true">IF($D255="","",IF($K255="Completed",IF($L255="",$H255,$L255),IF($H255="","",IF($H255&lt;TODAY(),TODAY(),$H255))))</f>
        <v/>
      </c>
      <c r="N255" s="12" t="str">
        <f aca="true">IF($D255="","",IF($K255="Completed","Completed",IF($H255="","No Due Date",IF($H255&lt;TODAY(),"Carried Forward",IF($H255=TODAY(),"Due Today","Upcoming")))))</f>
        <v/>
      </c>
      <c r="O255" s="5" t="str">
        <f aca="true">IF($D255="","",IF($I255="","",IF($K255="Completed","",$I255-TODAY())))</f>
        <v/>
      </c>
      <c r="P255" s="5" t="str">
        <f aca="true">IF($D255="","",IF($B255="","",IF($K255="Completed",IF($L255="","",$L255-$B255),TODAY()-$B255)))</f>
        <v/>
      </c>
      <c r="Q255" s="5" t="str">
        <f aca="false">IF($D255="","",IF($K255="Completed","",MAX($Q$1:$Q254)+1))</f>
        <v/>
      </c>
      <c r="R255" s="7"/>
    </row>
    <row r="256" customFormat="false" ht="15" hidden="false" customHeight="false" outlineLevel="0" collapsed="false">
      <c r="A256" s="5" t="str">
        <f aca="false">IF($D256="","",ROW()-1)</f>
        <v/>
      </c>
      <c r="B256" s="6"/>
      <c r="C256" s="7"/>
      <c r="D256" s="7"/>
      <c r="E256" s="7"/>
      <c r="F256" s="7"/>
      <c r="G256" s="8"/>
      <c r="H256" s="6"/>
      <c r="I256" s="9"/>
      <c r="J256" s="10"/>
      <c r="K256" s="8"/>
      <c r="L256" s="6"/>
      <c r="M256" s="11" t="str">
        <f aca="true">IF($D256="","",IF($K256="Completed",IF($L256="",$H256,$L256),IF($H256="","",IF($H256&lt;TODAY(),TODAY(),$H256))))</f>
        <v/>
      </c>
      <c r="N256" s="12" t="str">
        <f aca="true">IF($D256="","",IF($K256="Completed","Completed",IF($H256="","No Due Date",IF($H256&lt;TODAY(),"Carried Forward",IF($H256=TODAY(),"Due Today","Upcoming")))))</f>
        <v/>
      </c>
      <c r="O256" s="5" t="str">
        <f aca="true">IF($D256="","",IF($I256="","",IF($K256="Completed","",$I256-TODAY())))</f>
        <v/>
      </c>
      <c r="P256" s="5" t="str">
        <f aca="true">IF($D256="","",IF($B256="","",IF($K256="Completed",IF($L256="","",$L256-$B256),TODAY()-$B256)))</f>
        <v/>
      </c>
      <c r="Q256" s="5" t="str">
        <f aca="false">IF($D256="","",IF($K256="Completed","",MAX($Q$1:$Q255)+1))</f>
        <v/>
      </c>
      <c r="R256" s="7"/>
    </row>
    <row r="257" customFormat="false" ht="15" hidden="false" customHeight="false" outlineLevel="0" collapsed="false">
      <c r="A257" s="5" t="str">
        <f aca="false">IF($D257="","",ROW()-1)</f>
        <v/>
      </c>
      <c r="B257" s="6"/>
      <c r="C257" s="7"/>
      <c r="D257" s="7"/>
      <c r="E257" s="7"/>
      <c r="F257" s="7"/>
      <c r="G257" s="8"/>
      <c r="H257" s="6"/>
      <c r="I257" s="9"/>
      <c r="J257" s="10"/>
      <c r="K257" s="8"/>
      <c r="L257" s="6"/>
      <c r="M257" s="11" t="str">
        <f aca="true">IF($D257="","",IF($K257="Completed",IF($L257="",$H257,$L257),IF($H257="","",IF($H257&lt;TODAY(),TODAY(),$H257))))</f>
        <v/>
      </c>
      <c r="N257" s="12" t="str">
        <f aca="true">IF($D257="","",IF($K257="Completed","Completed",IF($H257="","No Due Date",IF($H257&lt;TODAY(),"Carried Forward",IF($H257=TODAY(),"Due Today","Upcoming")))))</f>
        <v/>
      </c>
      <c r="O257" s="5" t="str">
        <f aca="true">IF($D257="","",IF($I257="","",IF($K257="Completed","",$I257-TODAY())))</f>
        <v/>
      </c>
      <c r="P257" s="5" t="str">
        <f aca="true">IF($D257="","",IF($B257="","",IF($K257="Completed",IF($L257="","",$L257-$B257),TODAY()-$B257)))</f>
        <v/>
      </c>
      <c r="Q257" s="5" t="str">
        <f aca="false">IF($D257="","",IF($K257="Completed","",MAX($Q$1:$Q256)+1))</f>
        <v/>
      </c>
      <c r="R257" s="7"/>
    </row>
    <row r="258" customFormat="false" ht="15" hidden="false" customHeight="false" outlineLevel="0" collapsed="false">
      <c r="A258" s="5" t="str">
        <f aca="false">IF($D258="","",ROW()-1)</f>
        <v/>
      </c>
      <c r="B258" s="6"/>
      <c r="C258" s="7"/>
      <c r="D258" s="7"/>
      <c r="E258" s="7"/>
      <c r="F258" s="7"/>
      <c r="G258" s="8"/>
      <c r="H258" s="6"/>
      <c r="I258" s="9"/>
      <c r="J258" s="10"/>
      <c r="K258" s="8"/>
      <c r="L258" s="6"/>
      <c r="M258" s="11" t="str">
        <f aca="true">IF($D258="","",IF($K258="Completed",IF($L258="",$H258,$L258),IF($H258="","",IF($H258&lt;TODAY(),TODAY(),$H258))))</f>
        <v/>
      </c>
      <c r="N258" s="12" t="str">
        <f aca="true">IF($D258="","",IF($K258="Completed","Completed",IF($H258="","No Due Date",IF($H258&lt;TODAY(),"Carried Forward",IF($H258=TODAY(),"Due Today","Upcoming")))))</f>
        <v/>
      </c>
      <c r="O258" s="5" t="str">
        <f aca="true">IF($D258="","",IF($I258="","",IF($K258="Completed","",$I258-TODAY())))</f>
        <v/>
      </c>
      <c r="P258" s="5" t="str">
        <f aca="true">IF($D258="","",IF($B258="","",IF($K258="Completed",IF($L258="","",$L258-$B258),TODAY()-$B258)))</f>
        <v/>
      </c>
      <c r="Q258" s="5" t="str">
        <f aca="false">IF($D258="","",IF($K258="Completed","",MAX($Q$1:$Q257)+1))</f>
        <v/>
      </c>
      <c r="R258" s="7"/>
    </row>
    <row r="259" customFormat="false" ht="15" hidden="false" customHeight="false" outlineLevel="0" collapsed="false">
      <c r="A259" s="5" t="str">
        <f aca="false">IF($D259="","",ROW()-1)</f>
        <v/>
      </c>
      <c r="B259" s="6"/>
      <c r="C259" s="7"/>
      <c r="D259" s="7"/>
      <c r="E259" s="7"/>
      <c r="F259" s="7"/>
      <c r="G259" s="8"/>
      <c r="H259" s="6"/>
      <c r="I259" s="9"/>
      <c r="J259" s="10"/>
      <c r="K259" s="8"/>
      <c r="L259" s="6"/>
      <c r="M259" s="11" t="str">
        <f aca="true">IF($D259="","",IF($K259="Completed",IF($L259="",$H259,$L259),IF($H259="","",IF($H259&lt;TODAY(),TODAY(),$H259))))</f>
        <v/>
      </c>
      <c r="N259" s="12" t="str">
        <f aca="true">IF($D259="","",IF($K259="Completed","Completed",IF($H259="","No Due Date",IF($H259&lt;TODAY(),"Carried Forward",IF($H259=TODAY(),"Due Today","Upcoming")))))</f>
        <v/>
      </c>
      <c r="O259" s="5" t="str">
        <f aca="true">IF($D259="","",IF($I259="","",IF($K259="Completed","",$I259-TODAY())))</f>
        <v/>
      </c>
      <c r="P259" s="5" t="str">
        <f aca="true">IF($D259="","",IF($B259="","",IF($K259="Completed",IF($L259="","",$L259-$B259),TODAY()-$B259)))</f>
        <v/>
      </c>
      <c r="Q259" s="5" t="str">
        <f aca="false">IF($D259="","",IF($K259="Completed","",MAX($Q$1:$Q258)+1))</f>
        <v/>
      </c>
      <c r="R259" s="7"/>
    </row>
    <row r="260" customFormat="false" ht="15" hidden="false" customHeight="false" outlineLevel="0" collapsed="false">
      <c r="A260" s="5" t="str">
        <f aca="false">IF($D260="","",ROW()-1)</f>
        <v/>
      </c>
      <c r="B260" s="6"/>
      <c r="C260" s="7"/>
      <c r="D260" s="7"/>
      <c r="E260" s="7"/>
      <c r="F260" s="7"/>
      <c r="G260" s="8"/>
      <c r="H260" s="6"/>
      <c r="I260" s="9"/>
      <c r="J260" s="10"/>
      <c r="K260" s="8"/>
      <c r="L260" s="6"/>
      <c r="M260" s="11" t="str">
        <f aca="true">IF($D260="","",IF($K260="Completed",IF($L260="",$H260,$L260),IF($H260="","",IF($H260&lt;TODAY(),TODAY(),$H260))))</f>
        <v/>
      </c>
      <c r="N260" s="12" t="str">
        <f aca="true">IF($D260="","",IF($K260="Completed","Completed",IF($H260="","No Due Date",IF($H260&lt;TODAY(),"Carried Forward",IF($H260=TODAY(),"Due Today","Upcoming")))))</f>
        <v/>
      </c>
      <c r="O260" s="5" t="str">
        <f aca="true">IF($D260="","",IF($I260="","",IF($K260="Completed","",$I260-TODAY())))</f>
        <v/>
      </c>
      <c r="P260" s="5" t="str">
        <f aca="true">IF($D260="","",IF($B260="","",IF($K260="Completed",IF($L260="","",$L260-$B260),TODAY()-$B260)))</f>
        <v/>
      </c>
      <c r="Q260" s="5" t="str">
        <f aca="false">IF($D260="","",IF($K260="Completed","",MAX($Q$1:$Q259)+1))</f>
        <v/>
      </c>
      <c r="R260" s="7"/>
    </row>
    <row r="261" customFormat="false" ht="15" hidden="false" customHeight="false" outlineLevel="0" collapsed="false">
      <c r="A261" s="5" t="str">
        <f aca="false">IF($D261="","",ROW()-1)</f>
        <v/>
      </c>
      <c r="B261" s="6"/>
      <c r="C261" s="7"/>
      <c r="D261" s="7"/>
      <c r="E261" s="7"/>
      <c r="F261" s="7"/>
      <c r="G261" s="8"/>
      <c r="H261" s="6"/>
      <c r="I261" s="9"/>
      <c r="J261" s="10"/>
      <c r="K261" s="8"/>
      <c r="L261" s="6"/>
      <c r="M261" s="11" t="str">
        <f aca="true">IF($D261="","",IF($K261="Completed",IF($L261="",$H261,$L261),IF($H261="","",IF($H261&lt;TODAY(),TODAY(),$H261))))</f>
        <v/>
      </c>
      <c r="N261" s="12" t="str">
        <f aca="true">IF($D261="","",IF($K261="Completed","Completed",IF($H261="","No Due Date",IF($H261&lt;TODAY(),"Carried Forward",IF($H261=TODAY(),"Due Today","Upcoming")))))</f>
        <v/>
      </c>
      <c r="O261" s="5" t="str">
        <f aca="true">IF($D261="","",IF($I261="","",IF($K261="Completed","",$I261-TODAY())))</f>
        <v/>
      </c>
      <c r="P261" s="5" t="str">
        <f aca="true">IF($D261="","",IF($B261="","",IF($K261="Completed",IF($L261="","",$L261-$B261),TODAY()-$B261)))</f>
        <v/>
      </c>
      <c r="Q261" s="5" t="str">
        <f aca="false">IF($D261="","",IF($K261="Completed","",MAX($Q$1:$Q260)+1))</f>
        <v/>
      </c>
      <c r="R261" s="7"/>
    </row>
    <row r="262" customFormat="false" ht="15" hidden="false" customHeight="false" outlineLevel="0" collapsed="false">
      <c r="A262" s="5" t="str">
        <f aca="false">IF($D262="","",ROW()-1)</f>
        <v/>
      </c>
      <c r="B262" s="6"/>
      <c r="C262" s="7"/>
      <c r="D262" s="7"/>
      <c r="E262" s="7"/>
      <c r="F262" s="7"/>
      <c r="G262" s="8"/>
      <c r="H262" s="6"/>
      <c r="I262" s="9"/>
      <c r="J262" s="10"/>
      <c r="K262" s="8"/>
      <c r="L262" s="6"/>
      <c r="M262" s="11" t="str">
        <f aca="true">IF($D262="","",IF($K262="Completed",IF($L262="",$H262,$L262),IF($H262="","",IF($H262&lt;TODAY(),TODAY(),$H262))))</f>
        <v/>
      </c>
      <c r="N262" s="12" t="str">
        <f aca="true">IF($D262="","",IF($K262="Completed","Completed",IF($H262="","No Due Date",IF($H262&lt;TODAY(),"Carried Forward",IF($H262=TODAY(),"Due Today","Upcoming")))))</f>
        <v/>
      </c>
      <c r="O262" s="5" t="str">
        <f aca="true">IF($D262="","",IF($I262="","",IF($K262="Completed","",$I262-TODAY())))</f>
        <v/>
      </c>
      <c r="P262" s="5" t="str">
        <f aca="true">IF($D262="","",IF($B262="","",IF($K262="Completed",IF($L262="","",$L262-$B262),TODAY()-$B262)))</f>
        <v/>
      </c>
      <c r="Q262" s="5" t="str">
        <f aca="false">IF($D262="","",IF($K262="Completed","",MAX($Q$1:$Q261)+1))</f>
        <v/>
      </c>
      <c r="R262" s="7"/>
    </row>
    <row r="263" customFormat="false" ht="15" hidden="false" customHeight="false" outlineLevel="0" collapsed="false">
      <c r="A263" s="5" t="str">
        <f aca="false">IF($D263="","",ROW()-1)</f>
        <v/>
      </c>
      <c r="B263" s="6"/>
      <c r="C263" s="7"/>
      <c r="D263" s="7"/>
      <c r="E263" s="7"/>
      <c r="F263" s="7"/>
      <c r="G263" s="8"/>
      <c r="H263" s="6"/>
      <c r="I263" s="9"/>
      <c r="J263" s="10"/>
      <c r="K263" s="8"/>
      <c r="L263" s="6"/>
      <c r="M263" s="11" t="str">
        <f aca="true">IF($D263="","",IF($K263="Completed",IF($L263="",$H263,$L263),IF($H263="","",IF($H263&lt;TODAY(),TODAY(),$H263))))</f>
        <v/>
      </c>
      <c r="N263" s="12" t="str">
        <f aca="true">IF($D263="","",IF($K263="Completed","Completed",IF($H263="","No Due Date",IF($H263&lt;TODAY(),"Carried Forward",IF($H263=TODAY(),"Due Today","Upcoming")))))</f>
        <v/>
      </c>
      <c r="O263" s="5" t="str">
        <f aca="true">IF($D263="","",IF($I263="","",IF($K263="Completed","",$I263-TODAY())))</f>
        <v/>
      </c>
      <c r="P263" s="5" t="str">
        <f aca="true">IF($D263="","",IF($B263="","",IF($K263="Completed",IF($L263="","",$L263-$B263),TODAY()-$B263)))</f>
        <v/>
      </c>
      <c r="Q263" s="5" t="str">
        <f aca="false">IF($D263="","",IF($K263="Completed","",MAX($Q$1:$Q262)+1))</f>
        <v/>
      </c>
      <c r="R263" s="7"/>
    </row>
    <row r="264" customFormat="false" ht="15" hidden="false" customHeight="false" outlineLevel="0" collapsed="false">
      <c r="A264" s="5" t="str">
        <f aca="false">IF($D264="","",ROW()-1)</f>
        <v/>
      </c>
      <c r="B264" s="6"/>
      <c r="C264" s="7"/>
      <c r="D264" s="7"/>
      <c r="E264" s="7"/>
      <c r="F264" s="7"/>
      <c r="G264" s="8"/>
      <c r="H264" s="6"/>
      <c r="I264" s="9"/>
      <c r="J264" s="10"/>
      <c r="K264" s="8"/>
      <c r="L264" s="6"/>
      <c r="M264" s="11" t="str">
        <f aca="true">IF($D264="","",IF($K264="Completed",IF($L264="",$H264,$L264),IF($H264="","",IF($H264&lt;TODAY(),TODAY(),$H264))))</f>
        <v/>
      </c>
      <c r="N264" s="12" t="str">
        <f aca="true">IF($D264="","",IF($K264="Completed","Completed",IF($H264="","No Due Date",IF($H264&lt;TODAY(),"Carried Forward",IF($H264=TODAY(),"Due Today","Upcoming")))))</f>
        <v/>
      </c>
      <c r="O264" s="5" t="str">
        <f aca="true">IF($D264="","",IF($I264="","",IF($K264="Completed","",$I264-TODAY())))</f>
        <v/>
      </c>
      <c r="P264" s="5" t="str">
        <f aca="true">IF($D264="","",IF($B264="","",IF($K264="Completed",IF($L264="","",$L264-$B264),TODAY()-$B264)))</f>
        <v/>
      </c>
      <c r="Q264" s="5" t="str">
        <f aca="false">IF($D264="","",IF($K264="Completed","",MAX($Q$1:$Q263)+1))</f>
        <v/>
      </c>
      <c r="R264" s="7"/>
    </row>
    <row r="265" customFormat="false" ht="15" hidden="false" customHeight="false" outlineLevel="0" collapsed="false">
      <c r="A265" s="5" t="str">
        <f aca="false">IF($D265="","",ROW()-1)</f>
        <v/>
      </c>
      <c r="B265" s="6"/>
      <c r="C265" s="7"/>
      <c r="D265" s="7"/>
      <c r="E265" s="7"/>
      <c r="F265" s="7"/>
      <c r="G265" s="8"/>
      <c r="H265" s="6"/>
      <c r="I265" s="9"/>
      <c r="J265" s="10"/>
      <c r="K265" s="8"/>
      <c r="L265" s="6"/>
      <c r="M265" s="11" t="str">
        <f aca="true">IF($D265="","",IF($K265="Completed",IF($L265="",$H265,$L265),IF($H265="","",IF($H265&lt;TODAY(),TODAY(),$H265))))</f>
        <v/>
      </c>
      <c r="N265" s="12" t="str">
        <f aca="true">IF($D265="","",IF($K265="Completed","Completed",IF($H265="","No Due Date",IF($H265&lt;TODAY(),"Carried Forward",IF($H265=TODAY(),"Due Today","Upcoming")))))</f>
        <v/>
      </c>
      <c r="O265" s="5" t="str">
        <f aca="true">IF($D265="","",IF($I265="","",IF($K265="Completed","",$I265-TODAY())))</f>
        <v/>
      </c>
      <c r="P265" s="5" t="str">
        <f aca="true">IF($D265="","",IF($B265="","",IF($K265="Completed",IF($L265="","",$L265-$B265),TODAY()-$B265)))</f>
        <v/>
      </c>
      <c r="Q265" s="5" t="str">
        <f aca="false">IF($D265="","",IF($K265="Completed","",MAX($Q$1:$Q264)+1))</f>
        <v/>
      </c>
      <c r="R265" s="7"/>
    </row>
    <row r="266" customFormat="false" ht="15" hidden="false" customHeight="false" outlineLevel="0" collapsed="false">
      <c r="A266" s="5" t="str">
        <f aca="false">IF($D266="","",ROW()-1)</f>
        <v/>
      </c>
      <c r="B266" s="6"/>
      <c r="C266" s="7"/>
      <c r="D266" s="7"/>
      <c r="E266" s="7"/>
      <c r="F266" s="7"/>
      <c r="G266" s="8"/>
      <c r="H266" s="6"/>
      <c r="I266" s="9"/>
      <c r="J266" s="10"/>
      <c r="K266" s="8"/>
      <c r="L266" s="6"/>
      <c r="M266" s="11" t="str">
        <f aca="true">IF($D266="","",IF($K266="Completed",IF($L266="",$H266,$L266),IF($H266="","",IF($H266&lt;TODAY(),TODAY(),$H266))))</f>
        <v/>
      </c>
      <c r="N266" s="12" t="str">
        <f aca="true">IF($D266="","",IF($K266="Completed","Completed",IF($H266="","No Due Date",IF($H266&lt;TODAY(),"Carried Forward",IF($H266=TODAY(),"Due Today","Upcoming")))))</f>
        <v/>
      </c>
      <c r="O266" s="5" t="str">
        <f aca="true">IF($D266="","",IF($I266="","",IF($K266="Completed","",$I266-TODAY())))</f>
        <v/>
      </c>
      <c r="P266" s="5" t="str">
        <f aca="true">IF($D266="","",IF($B266="","",IF($K266="Completed",IF($L266="","",$L266-$B266),TODAY()-$B266)))</f>
        <v/>
      </c>
      <c r="Q266" s="5" t="str">
        <f aca="false">IF($D266="","",IF($K266="Completed","",MAX($Q$1:$Q265)+1))</f>
        <v/>
      </c>
      <c r="R266" s="7"/>
    </row>
    <row r="267" customFormat="false" ht="15" hidden="false" customHeight="false" outlineLevel="0" collapsed="false">
      <c r="A267" s="5" t="str">
        <f aca="false">IF($D267="","",ROW()-1)</f>
        <v/>
      </c>
      <c r="B267" s="6"/>
      <c r="C267" s="7"/>
      <c r="D267" s="7"/>
      <c r="E267" s="7"/>
      <c r="F267" s="7"/>
      <c r="G267" s="8"/>
      <c r="H267" s="6"/>
      <c r="I267" s="9"/>
      <c r="J267" s="10"/>
      <c r="K267" s="8"/>
      <c r="L267" s="6"/>
      <c r="M267" s="11" t="str">
        <f aca="true">IF($D267="","",IF($K267="Completed",IF($L267="",$H267,$L267),IF($H267="","",IF($H267&lt;TODAY(),TODAY(),$H267))))</f>
        <v/>
      </c>
      <c r="N267" s="12" t="str">
        <f aca="true">IF($D267="","",IF($K267="Completed","Completed",IF($H267="","No Due Date",IF($H267&lt;TODAY(),"Carried Forward",IF($H267=TODAY(),"Due Today","Upcoming")))))</f>
        <v/>
      </c>
      <c r="O267" s="5" t="str">
        <f aca="true">IF($D267="","",IF($I267="","",IF($K267="Completed","",$I267-TODAY())))</f>
        <v/>
      </c>
      <c r="P267" s="5" t="str">
        <f aca="true">IF($D267="","",IF($B267="","",IF($K267="Completed",IF($L267="","",$L267-$B267),TODAY()-$B267)))</f>
        <v/>
      </c>
      <c r="Q267" s="5" t="str">
        <f aca="false">IF($D267="","",IF($K267="Completed","",MAX($Q$1:$Q266)+1))</f>
        <v/>
      </c>
      <c r="R267" s="7"/>
    </row>
    <row r="268" customFormat="false" ht="15" hidden="false" customHeight="false" outlineLevel="0" collapsed="false">
      <c r="A268" s="5" t="str">
        <f aca="false">IF($D268="","",ROW()-1)</f>
        <v/>
      </c>
      <c r="B268" s="6"/>
      <c r="C268" s="7"/>
      <c r="D268" s="7"/>
      <c r="E268" s="7"/>
      <c r="F268" s="7"/>
      <c r="G268" s="8"/>
      <c r="H268" s="6"/>
      <c r="I268" s="9"/>
      <c r="J268" s="10"/>
      <c r="K268" s="8"/>
      <c r="L268" s="6"/>
      <c r="M268" s="11" t="str">
        <f aca="true">IF($D268="","",IF($K268="Completed",IF($L268="",$H268,$L268),IF($H268="","",IF($H268&lt;TODAY(),TODAY(),$H268))))</f>
        <v/>
      </c>
      <c r="N268" s="12" t="str">
        <f aca="true">IF($D268="","",IF($K268="Completed","Completed",IF($H268="","No Due Date",IF($H268&lt;TODAY(),"Carried Forward",IF($H268=TODAY(),"Due Today","Upcoming")))))</f>
        <v/>
      </c>
      <c r="O268" s="5" t="str">
        <f aca="true">IF($D268="","",IF($I268="","",IF($K268="Completed","",$I268-TODAY())))</f>
        <v/>
      </c>
      <c r="P268" s="5" t="str">
        <f aca="true">IF($D268="","",IF($B268="","",IF($K268="Completed",IF($L268="","",$L268-$B268),TODAY()-$B268)))</f>
        <v/>
      </c>
      <c r="Q268" s="5" t="str">
        <f aca="false">IF($D268="","",IF($K268="Completed","",MAX($Q$1:$Q267)+1))</f>
        <v/>
      </c>
      <c r="R268" s="7"/>
    </row>
    <row r="269" customFormat="false" ht="15" hidden="false" customHeight="false" outlineLevel="0" collapsed="false">
      <c r="A269" s="5" t="str">
        <f aca="false">IF($D269="","",ROW()-1)</f>
        <v/>
      </c>
      <c r="B269" s="6"/>
      <c r="C269" s="7"/>
      <c r="D269" s="7"/>
      <c r="E269" s="7"/>
      <c r="F269" s="7"/>
      <c r="G269" s="8"/>
      <c r="H269" s="6"/>
      <c r="I269" s="9"/>
      <c r="J269" s="10"/>
      <c r="K269" s="8"/>
      <c r="L269" s="6"/>
      <c r="M269" s="11" t="str">
        <f aca="true">IF($D269="","",IF($K269="Completed",IF($L269="",$H269,$L269),IF($H269="","",IF($H269&lt;TODAY(),TODAY(),$H269))))</f>
        <v/>
      </c>
      <c r="N269" s="12" t="str">
        <f aca="true">IF($D269="","",IF($K269="Completed","Completed",IF($H269="","No Due Date",IF($H269&lt;TODAY(),"Carried Forward",IF($H269=TODAY(),"Due Today","Upcoming")))))</f>
        <v/>
      </c>
      <c r="O269" s="5" t="str">
        <f aca="true">IF($D269="","",IF($I269="","",IF($K269="Completed","",$I269-TODAY())))</f>
        <v/>
      </c>
      <c r="P269" s="5" t="str">
        <f aca="true">IF($D269="","",IF($B269="","",IF($K269="Completed",IF($L269="","",$L269-$B269),TODAY()-$B269)))</f>
        <v/>
      </c>
      <c r="Q269" s="5" t="str">
        <f aca="false">IF($D269="","",IF($K269="Completed","",MAX($Q$1:$Q268)+1))</f>
        <v/>
      </c>
      <c r="R269" s="7"/>
    </row>
    <row r="270" customFormat="false" ht="15" hidden="false" customHeight="false" outlineLevel="0" collapsed="false">
      <c r="A270" s="5" t="str">
        <f aca="false">IF($D270="","",ROW()-1)</f>
        <v/>
      </c>
      <c r="B270" s="6"/>
      <c r="C270" s="7"/>
      <c r="D270" s="7"/>
      <c r="E270" s="7"/>
      <c r="F270" s="7"/>
      <c r="G270" s="8"/>
      <c r="H270" s="6"/>
      <c r="I270" s="9"/>
      <c r="J270" s="10"/>
      <c r="K270" s="8"/>
      <c r="L270" s="6"/>
      <c r="M270" s="11" t="str">
        <f aca="true">IF($D270="","",IF($K270="Completed",IF($L270="",$H270,$L270),IF($H270="","",IF($H270&lt;TODAY(),TODAY(),$H270))))</f>
        <v/>
      </c>
      <c r="N270" s="12" t="str">
        <f aca="true">IF($D270="","",IF($K270="Completed","Completed",IF($H270="","No Due Date",IF($H270&lt;TODAY(),"Carried Forward",IF($H270=TODAY(),"Due Today","Upcoming")))))</f>
        <v/>
      </c>
      <c r="O270" s="5" t="str">
        <f aca="true">IF($D270="","",IF($I270="","",IF($K270="Completed","",$I270-TODAY())))</f>
        <v/>
      </c>
      <c r="P270" s="5" t="str">
        <f aca="true">IF($D270="","",IF($B270="","",IF($K270="Completed",IF($L270="","",$L270-$B270),TODAY()-$B270)))</f>
        <v/>
      </c>
      <c r="Q270" s="5" t="str">
        <f aca="false">IF($D270="","",IF($K270="Completed","",MAX($Q$1:$Q269)+1))</f>
        <v/>
      </c>
      <c r="R270" s="7"/>
    </row>
    <row r="271" customFormat="false" ht="15" hidden="false" customHeight="false" outlineLevel="0" collapsed="false">
      <c r="A271" s="5" t="str">
        <f aca="false">IF($D271="","",ROW()-1)</f>
        <v/>
      </c>
      <c r="B271" s="6"/>
      <c r="C271" s="7"/>
      <c r="D271" s="7"/>
      <c r="E271" s="7"/>
      <c r="F271" s="7"/>
      <c r="G271" s="8"/>
      <c r="H271" s="6"/>
      <c r="I271" s="9"/>
      <c r="J271" s="10"/>
      <c r="K271" s="8"/>
      <c r="L271" s="6"/>
      <c r="M271" s="11" t="str">
        <f aca="true">IF($D271="","",IF($K271="Completed",IF($L271="",$H271,$L271),IF($H271="","",IF($H271&lt;TODAY(),TODAY(),$H271))))</f>
        <v/>
      </c>
      <c r="N271" s="12" t="str">
        <f aca="true">IF($D271="","",IF($K271="Completed","Completed",IF($H271="","No Due Date",IF($H271&lt;TODAY(),"Carried Forward",IF($H271=TODAY(),"Due Today","Upcoming")))))</f>
        <v/>
      </c>
      <c r="O271" s="5" t="str">
        <f aca="true">IF($D271="","",IF($I271="","",IF($K271="Completed","",$I271-TODAY())))</f>
        <v/>
      </c>
      <c r="P271" s="5" t="str">
        <f aca="true">IF($D271="","",IF($B271="","",IF($K271="Completed",IF($L271="","",$L271-$B271),TODAY()-$B271)))</f>
        <v/>
      </c>
      <c r="Q271" s="5" t="str">
        <f aca="false">IF($D271="","",IF($K271="Completed","",MAX($Q$1:$Q270)+1))</f>
        <v/>
      </c>
      <c r="R271" s="7"/>
    </row>
    <row r="272" customFormat="false" ht="15" hidden="false" customHeight="false" outlineLevel="0" collapsed="false">
      <c r="A272" s="5" t="str">
        <f aca="false">IF($D272="","",ROW()-1)</f>
        <v/>
      </c>
      <c r="B272" s="6"/>
      <c r="C272" s="7"/>
      <c r="D272" s="7"/>
      <c r="E272" s="7"/>
      <c r="F272" s="7"/>
      <c r="G272" s="8"/>
      <c r="H272" s="6"/>
      <c r="I272" s="9"/>
      <c r="J272" s="10"/>
      <c r="K272" s="8"/>
      <c r="L272" s="6"/>
      <c r="M272" s="11" t="str">
        <f aca="true">IF($D272="","",IF($K272="Completed",IF($L272="",$H272,$L272),IF($H272="","",IF($H272&lt;TODAY(),TODAY(),$H272))))</f>
        <v/>
      </c>
      <c r="N272" s="12" t="str">
        <f aca="true">IF($D272="","",IF($K272="Completed","Completed",IF($H272="","No Due Date",IF($H272&lt;TODAY(),"Carried Forward",IF($H272=TODAY(),"Due Today","Upcoming")))))</f>
        <v/>
      </c>
      <c r="O272" s="5" t="str">
        <f aca="true">IF($D272="","",IF($I272="","",IF($K272="Completed","",$I272-TODAY())))</f>
        <v/>
      </c>
      <c r="P272" s="5" t="str">
        <f aca="true">IF($D272="","",IF($B272="","",IF($K272="Completed",IF($L272="","",$L272-$B272),TODAY()-$B272)))</f>
        <v/>
      </c>
      <c r="Q272" s="5" t="str">
        <f aca="false">IF($D272="","",IF($K272="Completed","",MAX($Q$1:$Q271)+1))</f>
        <v/>
      </c>
      <c r="R272" s="7"/>
    </row>
    <row r="273" customFormat="false" ht="15" hidden="false" customHeight="false" outlineLevel="0" collapsed="false">
      <c r="A273" s="5" t="str">
        <f aca="false">IF($D273="","",ROW()-1)</f>
        <v/>
      </c>
      <c r="B273" s="6"/>
      <c r="C273" s="7"/>
      <c r="D273" s="7"/>
      <c r="E273" s="7"/>
      <c r="F273" s="7"/>
      <c r="G273" s="8"/>
      <c r="H273" s="6"/>
      <c r="I273" s="9"/>
      <c r="J273" s="10"/>
      <c r="K273" s="8"/>
      <c r="L273" s="6"/>
      <c r="M273" s="11" t="str">
        <f aca="true">IF($D273="","",IF($K273="Completed",IF($L273="",$H273,$L273),IF($H273="","",IF($H273&lt;TODAY(),TODAY(),$H273))))</f>
        <v/>
      </c>
      <c r="N273" s="12" t="str">
        <f aca="true">IF($D273="","",IF($K273="Completed","Completed",IF($H273="","No Due Date",IF($H273&lt;TODAY(),"Carried Forward",IF($H273=TODAY(),"Due Today","Upcoming")))))</f>
        <v/>
      </c>
      <c r="O273" s="5" t="str">
        <f aca="true">IF($D273="","",IF($I273="","",IF($K273="Completed","",$I273-TODAY())))</f>
        <v/>
      </c>
      <c r="P273" s="5" t="str">
        <f aca="true">IF($D273="","",IF($B273="","",IF($K273="Completed",IF($L273="","",$L273-$B273),TODAY()-$B273)))</f>
        <v/>
      </c>
      <c r="Q273" s="5" t="str">
        <f aca="false">IF($D273="","",IF($K273="Completed","",MAX($Q$1:$Q272)+1))</f>
        <v/>
      </c>
      <c r="R273" s="7"/>
    </row>
    <row r="274" customFormat="false" ht="15" hidden="false" customHeight="false" outlineLevel="0" collapsed="false">
      <c r="A274" s="5" t="str">
        <f aca="false">IF($D274="","",ROW()-1)</f>
        <v/>
      </c>
      <c r="B274" s="6"/>
      <c r="C274" s="7"/>
      <c r="D274" s="7"/>
      <c r="E274" s="7"/>
      <c r="F274" s="7"/>
      <c r="G274" s="8"/>
      <c r="H274" s="6"/>
      <c r="I274" s="9"/>
      <c r="J274" s="10"/>
      <c r="K274" s="8"/>
      <c r="L274" s="6"/>
      <c r="M274" s="11" t="str">
        <f aca="true">IF($D274="","",IF($K274="Completed",IF($L274="",$H274,$L274),IF($H274="","",IF($H274&lt;TODAY(),TODAY(),$H274))))</f>
        <v/>
      </c>
      <c r="N274" s="12" t="str">
        <f aca="true">IF($D274="","",IF($K274="Completed","Completed",IF($H274="","No Due Date",IF($H274&lt;TODAY(),"Carried Forward",IF($H274=TODAY(),"Due Today","Upcoming")))))</f>
        <v/>
      </c>
      <c r="O274" s="5" t="str">
        <f aca="true">IF($D274="","",IF($I274="","",IF($K274="Completed","",$I274-TODAY())))</f>
        <v/>
      </c>
      <c r="P274" s="5" t="str">
        <f aca="true">IF($D274="","",IF($B274="","",IF($K274="Completed",IF($L274="","",$L274-$B274),TODAY()-$B274)))</f>
        <v/>
      </c>
      <c r="Q274" s="5" t="str">
        <f aca="false">IF($D274="","",IF($K274="Completed","",MAX($Q$1:$Q273)+1))</f>
        <v/>
      </c>
      <c r="R274" s="7"/>
    </row>
    <row r="275" customFormat="false" ht="15" hidden="false" customHeight="false" outlineLevel="0" collapsed="false">
      <c r="A275" s="5" t="str">
        <f aca="false">IF($D275="","",ROW()-1)</f>
        <v/>
      </c>
      <c r="B275" s="6"/>
      <c r="C275" s="7"/>
      <c r="D275" s="7"/>
      <c r="E275" s="7"/>
      <c r="F275" s="7"/>
      <c r="G275" s="8"/>
      <c r="H275" s="6"/>
      <c r="I275" s="9"/>
      <c r="J275" s="10"/>
      <c r="K275" s="8"/>
      <c r="L275" s="6"/>
      <c r="M275" s="11" t="str">
        <f aca="true">IF($D275="","",IF($K275="Completed",IF($L275="",$H275,$L275),IF($H275="","",IF($H275&lt;TODAY(),TODAY(),$H275))))</f>
        <v/>
      </c>
      <c r="N275" s="12" t="str">
        <f aca="true">IF($D275="","",IF($K275="Completed","Completed",IF($H275="","No Due Date",IF($H275&lt;TODAY(),"Carried Forward",IF($H275=TODAY(),"Due Today","Upcoming")))))</f>
        <v/>
      </c>
      <c r="O275" s="5" t="str">
        <f aca="true">IF($D275="","",IF($I275="","",IF($K275="Completed","",$I275-TODAY())))</f>
        <v/>
      </c>
      <c r="P275" s="5" t="str">
        <f aca="true">IF($D275="","",IF($B275="","",IF($K275="Completed",IF($L275="","",$L275-$B275),TODAY()-$B275)))</f>
        <v/>
      </c>
      <c r="Q275" s="5" t="str">
        <f aca="false">IF($D275="","",IF($K275="Completed","",MAX($Q$1:$Q274)+1))</f>
        <v/>
      </c>
      <c r="R275" s="7"/>
    </row>
    <row r="276" customFormat="false" ht="15" hidden="false" customHeight="false" outlineLevel="0" collapsed="false">
      <c r="A276" s="5" t="str">
        <f aca="false">IF($D276="","",ROW()-1)</f>
        <v/>
      </c>
      <c r="B276" s="6"/>
      <c r="C276" s="7"/>
      <c r="D276" s="7"/>
      <c r="E276" s="7"/>
      <c r="F276" s="7"/>
      <c r="G276" s="8"/>
      <c r="H276" s="6"/>
      <c r="I276" s="9"/>
      <c r="J276" s="10"/>
      <c r="K276" s="8"/>
      <c r="L276" s="6"/>
      <c r="M276" s="11" t="str">
        <f aca="true">IF($D276="","",IF($K276="Completed",IF($L276="",$H276,$L276),IF($H276="","",IF($H276&lt;TODAY(),TODAY(),$H276))))</f>
        <v/>
      </c>
      <c r="N276" s="12" t="str">
        <f aca="true">IF($D276="","",IF($K276="Completed","Completed",IF($H276="","No Due Date",IF($H276&lt;TODAY(),"Carried Forward",IF($H276=TODAY(),"Due Today","Upcoming")))))</f>
        <v/>
      </c>
      <c r="O276" s="5" t="str">
        <f aca="true">IF($D276="","",IF($I276="","",IF($K276="Completed","",$I276-TODAY())))</f>
        <v/>
      </c>
      <c r="P276" s="5" t="str">
        <f aca="true">IF($D276="","",IF($B276="","",IF($K276="Completed",IF($L276="","",$L276-$B276),TODAY()-$B276)))</f>
        <v/>
      </c>
      <c r="Q276" s="5" t="str">
        <f aca="false">IF($D276="","",IF($K276="Completed","",MAX($Q$1:$Q275)+1))</f>
        <v/>
      </c>
      <c r="R276" s="7"/>
    </row>
    <row r="277" customFormat="false" ht="15" hidden="false" customHeight="false" outlineLevel="0" collapsed="false">
      <c r="A277" s="5" t="str">
        <f aca="false">IF($D277="","",ROW()-1)</f>
        <v/>
      </c>
      <c r="B277" s="6"/>
      <c r="C277" s="7"/>
      <c r="D277" s="7"/>
      <c r="E277" s="7"/>
      <c r="F277" s="7"/>
      <c r="G277" s="8"/>
      <c r="H277" s="6"/>
      <c r="I277" s="9"/>
      <c r="J277" s="10"/>
      <c r="K277" s="8"/>
      <c r="L277" s="6"/>
      <c r="M277" s="11" t="str">
        <f aca="true">IF($D277="","",IF($K277="Completed",IF($L277="",$H277,$L277),IF($H277="","",IF($H277&lt;TODAY(),TODAY(),$H277))))</f>
        <v/>
      </c>
      <c r="N277" s="12" t="str">
        <f aca="true">IF($D277="","",IF($K277="Completed","Completed",IF($H277="","No Due Date",IF($H277&lt;TODAY(),"Carried Forward",IF($H277=TODAY(),"Due Today","Upcoming")))))</f>
        <v/>
      </c>
      <c r="O277" s="5" t="str">
        <f aca="true">IF($D277="","",IF($I277="","",IF($K277="Completed","",$I277-TODAY())))</f>
        <v/>
      </c>
      <c r="P277" s="5" t="str">
        <f aca="true">IF($D277="","",IF($B277="","",IF($K277="Completed",IF($L277="","",$L277-$B277),TODAY()-$B277)))</f>
        <v/>
      </c>
      <c r="Q277" s="5" t="str">
        <f aca="false">IF($D277="","",IF($K277="Completed","",MAX($Q$1:$Q276)+1))</f>
        <v/>
      </c>
      <c r="R277" s="7"/>
    </row>
    <row r="278" customFormat="false" ht="15" hidden="false" customHeight="false" outlineLevel="0" collapsed="false">
      <c r="A278" s="5" t="str">
        <f aca="false">IF($D278="","",ROW()-1)</f>
        <v/>
      </c>
      <c r="B278" s="6"/>
      <c r="C278" s="7"/>
      <c r="D278" s="7"/>
      <c r="E278" s="7"/>
      <c r="F278" s="7"/>
      <c r="G278" s="8"/>
      <c r="H278" s="6"/>
      <c r="I278" s="9"/>
      <c r="J278" s="10"/>
      <c r="K278" s="8"/>
      <c r="L278" s="6"/>
      <c r="M278" s="11" t="str">
        <f aca="true">IF($D278="","",IF($K278="Completed",IF($L278="",$H278,$L278),IF($H278="","",IF($H278&lt;TODAY(),TODAY(),$H278))))</f>
        <v/>
      </c>
      <c r="N278" s="12" t="str">
        <f aca="true">IF($D278="","",IF($K278="Completed","Completed",IF($H278="","No Due Date",IF($H278&lt;TODAY(),"Carried Forward",IF($H278=TODAY(),"Due Today","Upcoming")))))</f>
        <v/>
      </c>
      <c r="O278" s="5" t="str">
        <f aca="true">IF($D278="","",IF($I278="","",IF($K278="Completed","",$I278-TODAY())))</f>
        <v/>
      </c>
      <c r="P278" s="5" t="str">
        <f aca="true">IF($D278="","",IF($B278="","",IF($K278="Completed",IF($L278="","",$L278-$B278),TODAY()-$B278)))</f>
        <v/>
      </c>
      <c r="Q278" s="5" t="str">
        <f aca="false">IF($D278="","",IF($K278="Completed","",MAX($Q$1:$Q277)+1))</f>
        <v/>
      </c>
      <c r="R278" s="7"/>
    </row>
    <row r="279" customFormat="false" ht="15" hidden="false" customHeight="false" outlineLevel="0" collapsed="false">
      <c r="A279" s="5" t="str">
        <f aca="false">IF($D279="","",ROW()-1)</f>
        <v/>
      </c>
      <c r="B279" s="6"/>
      <c r="C279" s="7"/>
      <c r="D279" s="7"/>
      <c r="E279" s="7"/>
      <c r="F279" s="7"/>
      <c r="G279" s="8"/>
      <c r="H279" s="6"/>
      <c r="I279" s="9"/>
      <c r="J279" s="10"/>
      <c r="K279" s="8"/>
      <c r="L279" s="6"/>
      <c r="M279" s="11" t="str">
        <f aca="true">IF($D279="","",IF($K279="Completed",IF($L279="",$H279,$L279),IF($H279="","",IF($H279&lt;TODAY(),TODAY(),$H279))))</f>
        <v/>
      </c>
      <c r="N279" s="12" t="str">
        <f aca="true">IF($D279="","",IF($K279="Completed","Completed",IF($H279="","No Due Date",IF($H279&lt;TODAY(),"Carried Forward",IF($H279=TODAY(),"Due Today","Upcoming")))))</f>
        <v/>
      </c>
      <c r="O279" s="5" t="str">
        <f aca="true">IF($D279="","",IF($I279="","",IF($K279="Completed","",$I279-TODAY())))</f>
        <v/>
      </c>
      <c r="P279" s="5" t="str">
        <f aca="true">IF($D279="","",IF($B279="","",IF($K279="Completed",IF($L279="","",$L279-$B279),TODAY()-$B279)))</f>
        <v/>
      </c>
      <c r="Q279" s="5" t="str">
        <f aca="false">IF($D279="","",IF($K279="Completed","",MAX($Q$1:$Q278)+1))</f>
        <v/>
      </c>
      <c r="R279" s="7"/>
    </row>
    <row r="280" customFormat="false" ht="15" hidden="false" customHeight="false" outlineLevel="0" collapsed="false">
      <c r="A280" s="5" t="str">
        <f aca="false">IF($D280="","",ROW()-1)</f>
        <v/>
      </c>
      <c r="B280" s="6"/>
      <c r="C280" s="7"/>
      <c r="D280" s="7"/>
      <c r="E280" s="7"/>
      <c r="F280" s="7"/>
      <c r="G280" s="8"/>
      <c r="H280" s="6"/>
      <c r="I280" s="9"/>
      <c r="J280" s="10"/>
      <c r="K280" s="8"/>
      <c r="L280" s="6"/>
      <c r="M280" s="11" t="str">
        <f aca="true">IF($D280="","",IF($K280="Completed",IF($L280="",$H280,$L280),IF($H280="","",IF($H280&lt;TODAY(),TODAY(),$H280))))</f>
        <v/>
      </c>
      <c r="N280" s="12" t="str">
        <f aca="true">IF($D280="","",IF($K280="Completed","Completed",IF($H280="","No Due Date",IF($H280&lt;TODAY(),"Carried Forward",IF($H280=TODAY(),"Due Today","Upcoming")))))</f>
        <v/>
      </c>
      <c r="O280" s="5" t="str">
        <f aca="true">IF($D280="","",IF($I280="","",IF($K280="Completed","",$I280-TODAY())))</f>
        <v/>
      </c>
      <c r="P280" s="5" t="str">
        <f aca="true">IF($D280="","",IF($B280="","",IF($K280="Completed",IF($L280="","",$L280-$B280),TODAY()-$B280)))</f>
        <v/>
      </c>
      <c r="Q280" s="5" t="str">
        <f aca="false">IF($D280="","",IF($K280="Completed","",MAX($Q$1:$Q279)+1))</f>
        <v/>
      </c>
      <c r="R280" s="7"/>
    </row>
    <row r="281" customFormat="false" ht="15" hidden="false" customHeight="false" outlineLevel="0" collapsed="false">
      <c r="A281" s="5" t="str">
        <f aca="false">IF($D281="","",ROW()-1)</f>
        <v/>
      </c>
      <c r="B281" s="6"/>
      <c r="C281" s="7"/>
      <c r="D281" s="7"/>
      <c r="E281" s="7"/>
      <c r="F281" s="7"/>
      <c r="G281" s="8"/>
      <c r="H281" s="6"/>
      <c r="I281" s="9"/>
      <c r="J281" s="10"/>
      <c r="K281" s="8"/>
      <c r="L281" s="6"/>
      <c r="M281" s="11" t="str">
        <f aca="true">IF($D281="","",IF($K281="Completed",IF($L281="",$H281,$L281),IF($H281="","",IF($H281&lt;TODAY(),TODAY(),$H281))))</f>
        <v/>
      </c>
      <c r="N281" s="12" t="str">
        <f aca="true">IF($D281="","",IF($K281="Completed","Completed",IF($H281="","No Due Date",IF($H281&lt;TODAY(),"Carried Forward",IF($H281=TODAY(),"Due Today","Upcoming")))))</f>
        <v/>
      </c>
      <c r="O281" s="5" t="str">
        <f aca="true">IF($D281="","",IF($I281="","",IF($K281="Completed","",$I281-TODAY())))</f>
        <v/>
      </c>
      <c r="P281" s="5" t="str">
        <f aca="true">IF($D281="","",IF($B281="","",IF($K281="Completed",IF($L281="","",$L281-$B281),TODAY()-$B281)))</f>
        <v/>
      </c>
      <c r="Q281" s="5" t="str">
        <f aca="false">IF($D281="","",IF($K281="Completed","",MAX($Q$1:$Q280)+1))</f>
        <v/>
      </c>
      <c r="R281" s="7"/>
    </row>
    <row r="282" customFormat="false" ht="15" hidden="false" customHeight="false" outlineLevel="0" collapsed="false">
      <c r="A282" s="5" t="str">
        <f aca="false">IF($D282="","",ROW()-1)</f>
        <v/>
      </c>
      <c r="B282" s="6"/>
      <c r="C282" s="7"/>
      <c r="D282" s="7"/>
      <c r="E282" s="7"/>
      <c r="F282" s="7"/>
      <c r="G282" s="8"/>
      <c r="H282" s="6"/>
      <c r="I282" s="9"/>
      <c r="J282" s="10"/>
      <c r="K282" s="8"/>
      <c r="L282" s="6"/>
      <c r="M282" s="11" t="str">
        <f aca="true">IF($D282="","",IF($K282="Completed",IF($L282="",$H282,$L282),IF($H282="","",IF($H282&lt;TODAY(),TODAY(),$H282))))</f>
        <v/>
      </c>
      <c r="N282" s="12" t="str">
        <f aca="true">IF($D282="","",IF($K282="Completed","Completed",IF($H282="","No Due Date",IF($H282&lt;TODAY(),"Carried Forward",IF($H282=TODAY(),"Due Today","Upcoming")))))</f>
        <v/>
      </c>
      <c r="O282" s="5" t="str">
        <f aca="true">IF($D282="","",IF($I282="","",IF($K282="Completed","",$I282-TODAY())))</f>
        <v/>
      </c>
      <c r="P282" s="5" t="str">
        <f aca="true">IF($D282="","",IF($B282="","",IF($K282="Completed",IF($L282="","",$L282-$B282),TODAY()-$B282)))</f>
        <v/>
      </c>
      <c r="Q282" s="5" t="str">
        <f aca="false">IF($D282="","",IF($K282="Completed","",MAX($Q$1:$Q281)+1))</f>
        <v/>
      </c>
      <c r="R282" s="7"/>
    </row>
    <row r="283" customFormat="false" ht="15" hidden="false" customHeight="false" outlineLevel="0" collapsed="false">
      <c r="A283" s="5" t="str">
        <f aca="false">IF($D283="","",ROW()-1)</f>
        <v/>
      </c>
      <c r="B283" s="6"/>
      <c r="C283" s="7"/>
      <c r="D283" s="7"/>
      <c r="E283" s="7"/>
      <c r="F283" s="7"/>
      <c r="G283" s="8"/>
      <c r="H283" s="6"/>
      <c r="I283" s="9"/>
      <c r="J283" s="10"/>
      <c r="K283" s="8"/>
      <c r="L283" s="6"/>
      <c r="M283" s="11" t="str">
        <f aca="true">IF($D283="","",IF($K283="Completed",IF($L283="",$H283,$L283),IF($H283="","",IF($H283&lt;TODAY(),TODAY(),$H283))))</f>
        <v/>
      </c>
      <c r="N283" s="12" t="str">
        <f aca="true">IF($D283="","",IF($K283="Completed","Completed",IF($H283="","No Due Date",IF($H283&lt;TODAY(),"Carried Forward",IF($H283=TODAY(),"Due Today","Upcoming")))))</f>
        <v/>
      </c>
      <c r="O283" s="5" t="str">
        <f aca="true">IF($D283="","",IF($I283="","",IF($K283="Completed","",$I283-TODAY())))</f>
        <v/>
      </c>
      <c r="P283" s="5" t="str">
        <f aca="true">IF($D283="","",IF($B283="","",IF($K283="Completed",IF($L283="","",$L283-$B283),TODAY()-$B283)))</f>
        <v/>
      </c>
      <c r="Q283" s="5" t="str">
        <f aca="false">IF($D283="","",IF($K283="Completed","",MAX($Q$1:$Q282)+1))</f>
        <v/>
      </c>
      <c r="R283" s="7"/>
    </row>
    <row r="284" customFormat="false" ht="15" hidden="false" customHeight="false" outlineLevel="0" collapsed="false">
      <c r="A284" s="5" t="str">
        <f aca="false">IF($D284="","",ROW()-1)</f>
        <v/>
      </c>
      <c r="B284" s="6"/>
      <c r="C284" s="7"/>
      <c r="D284" s="7"/>
      <c r="E284" s="7"/>
      <c r="F284" s="7"/>
      <c r="G284" s="8"/>
      <c r="H284" s="6"/>
      <c r="I284" s="9"/>
      <c r="J284" s="10"/>
      <c r="K284" s="8"/>
      <c r="L284" s="6"/>
      <c r="M284" s="11" t="str">
        <f aca="true">IF($D284="","",IF($K284="Completed",IF($L284="",$H284,$L284),IF($H284="","",IF($H284&lt;TODAY(),TODAY(),$H284))))</f>
        <v/>
      </c>
      <c r="N284" s="12" t="str">
        <f aca="true">IF($D284="","",IF($K284="Completed","Completed",IF($H284="","No Due Date",IF($H284&lt;TODAY(),"Carried Forward",IF($H284=TODAY(),"Due Today","Upcoming")))))</f>
        <v/>
      </c>
      <c r="O284" s="5" t="str">
        <f aca="true">IF($D284="","",IF($I284="","",IF($K284="Completed","",$I284-TODAY())))</f>
        <v/>
      </c>
      <c r="P284" s="5" t="str">
        <f aca="true">IF($D284="","",IF($B284="","",IF($K284="Completed",IF($L284="","",$L284-$B284),TODAY()-$B284)))</f>
        <v/>
      </c>
      <c r="Q284" s="5" t="str">
        <f aca="false">IF($D284="","",IF($K284="Completed","",MAX($Q$1:$Q283)+1))</f>
        <v/>
      </c>
      <c r="R284" s="7"/>
    </row>
    <row r="285" customFormat="false" ht="15" hidden="false" customHeight="false" outlineLevel="0" collapsed="false">
      <c r="A285" s="5" t="str">
        <f aca="false">IF($D285="","",ROW()-1)</f>
        <v/>
      </c>
      <c r="B285" s="6"/>
      <c r="C285" s="7"/>
      <c r="D285" s="7"/>
      <c r="E285" s="7"/>
      <c r="F285" s="7"/>
      <c r="G285" s="8"/>
      <c r="H285" s="6"/>
      <c r="I285" s="9"/>
      <c r="J285" s="10"/>
      <c r="K285" s="8"/>
      <c r="L285" s="6"/>
      <c r="M285" s="11" t="str">
        <f aca="true">IF($D285="","",IF($K285="Completed",IF($L285="",$H285,$L285),IF($H285="","",IF($H285&lt;TODAY(),TODAY(),$H285))))</f>
        <v/>
      </c>
      <c r="N285" s="12" t="str">
        <f aca="true">IF($D285="","",IF($K285="Completed","Completed",IF($H285="","No Due Date",IF($H285&lt;TODAY(),"Carried Forward",IF($H285=TODAY(),"Due Today","Upcoming")))))</f>
        <v/>
      </c>
      <c r="O285" s="5" t="str">
        <f aca="true">IF($D285="","",IF($I285="","",IF($K285="Completed","",$I285-TODAY())))</f>
        <v/>
      </c>
      <c r="P285" s="5" t="str">
        <f aca="true">IF($D285="","",IF($B285="","",IF($K285="Completed",IF($L285="","",$L285-$B285),TODAY()-$B285)))</f>
        <v/>
      </c>
      <c r="Q285" s="5" t="str">
        <f aca="false">IF($D285="","",IF($K285="Completed","",MAX($Q$1:$Q284)+1))</f>
        <v/>
      </c>
      <c r="R285" s="7"/>
    </row>
    <row r="286" customFormat="false" ht="15" hidden="false" customHeight="false" outlineLevel="0" collapsed="false">
      <c r="A286" s="5" t="str">
        <f aca="false">IF($D286="","",ROW()-1)</f>
        <v/>
      </c>
      <c r="B286" s="6"/>
      <c r="C286" s="7"/>
      <c r="D286" s="7"/>
      <c r="E286" s="7"/>
      <c r="F286" s="7"/>
      <c r="G286" s="8"/>
      <c r="H286" s="6"/>
      <c r="I286" s="9"/>
      <c r="J286" s="10"/>
      <c r="K286" s="8"/>
      <c r="L286" s="6"/>
      <c r="M286" s="11" t="str">
        <f aca="true">IF($D286="","",IF($K286="Completed",IF($L286="",$H286,$L286),IF($H286="","",IF($H286&lt;TODAY(),TODAY(),$H286))))</f>
        <v/>
      </c>
      <c r="N286" s="12" t="str">
        <f aca="true">IF($D286="","",IF($K286="Completed","Completed",IF($H286="","No Due Date",IF($H286&lt;TODAY(),"Carried Forward",IF($H286=TODAY(),"Due Today","Upcoming")))))</f>
        <v/>
      </c>
      <c r="O286" s="5" t="str">
        <f aca="true">IF($D286="","",IF($I286="","",IF($K286="Completed","",$I286-TODAY())))</f>
        <v/>
      </c>
      <c r="P286" s="5" t="str">
        <f aca="true">IF($D286="","",IF($B286="","",IF($K286="Completed",IF($L286="","",$L286-$B286),TODAY()-$B286)))</f>
        <v/>
      </c>
      <c r="Q286" s="5" t="str">
        <f aca="false">IF($D286="","",IF($K286="Completed","",MAX($Q$1:$Q285)+1))</f>
        <v/>
      </c>
      <c r="R286" s="7"/>
    </row>
    <row r="287" customFormat="false" ht="15" hidden="false" customHeight="false" outlineLevel="0" collapsed="false">
      <c r="A287" s="5" t="str">
        <f aca="false">IF($D287="","",ROW()-1)</f>
        <v/>
      </c>
      <c r="B287" s="6"/>
      <c r="C287" s="7"/>
      <c r="D287" s="7"/>
      <c r="E287" s="7"/>
      <c r="F287" s="7"/>
      <c r="G287" s="8"/>
      <c r="H287" s="6"/>
      <c r="I287" s="9"/>
      <c r="J287" s="10"/>
      <c r="K287" s="8"/>
      <c r="L287" s="6"/>
      <c r="M287" s="11" t="str">
        <f aca="true">IF($D287="","",IF($K287="Completed",IF($L287="",$H287,$L287),IF($H287="","",IF($H287&lt;TODAY(),TODAY(),$H287))))</f>
        <v/>
      </c>
      <c r="N287" s="12" t="str">
        <f aca="true">IF($D287="","",IF($K287="Completed","Completed",IF($H287="","No Due Date",IF($H287&lt;TODAY(),"Carried Forward",IF($H287=TODAY(),"Due Today","Upcoming")))))</f>
        <v/>
      </c>
      <c r="O287" s="5" t="str">
        <f aca="true">IF($D287="","",IF($I287="","",IF($K287="Completed","",$I287-TODAY())))</f>
        <v/>
      </c>
      <c r="P287" s="5" t="str">
        <f aca="true">IF($D287="","",IF($B287="","",IF($K287="Completed",IF($L287="","",$L287-$B287),TODAY()-$B287)))</f>
        <v/>
      </c>
      <c r="Q287" s="5" t="str">
        <f aca="false">IF($D287="","",IF($K287="Completed","",MAX($Q$1:$Q286)+1))</f>
        <v/>
      </c>
      <c r="R287" s="7"/>
    </row>
    <row r="288" customFormat="false" ht="15" hidden="false" customHeight="false" outlineLevel="0" collapsed="false">
      <c r="A288" s="5" t="str">
        <f aca="false">IF($D288="","",ROW()-1)</f>
        <v/>
      </c>
      <c r="B288" s="6"/>
      <c r="C288" s="7"/>
      <c r="D288" s="7"/>
      <c r="E288" s="7"/>
      <c r="F288" s="7"/>
      <c r="G288" s="8"/>
      <c r="H288" s="6"/>
      <c r="I288" s="9"/>
      <c r="J288" s="10"/>
      <c r="K288" s="8"/>
      <c r="L288" s="6"/>
      <c r="M288" s="11" t="str">
        <f aca="true">IF($D288="","",IF($K288="Completed",IF($L288="",$H288,$L288),IF($H288="","",IF($H288&lt;TODAY(),TODAY(),$H288))))</f>
        <v/>
      </c>
      <c r="N288" s="12" t="str">
        <f aca="true">IF($D288="","",IF($K288="Completed","Completed",IF($H288="","No Due Date",IF($H288&lt;TODAY(),"Carried Forward",IF($H288=TODAY(),"Due Today","Upcoming")))))</f>
        <v/>
      </c>
      <c r="O288" s="5" t="str">
        <f aca="true">IF($D288="","",IF($I288="","",IF($K288="Completed","",$I288-TODAY())))</f>
        <v/>
      </c>
      <c r="P288" s="5" t="str">
        <f aca="true">IF($D288="","",IF($B288="","",IF($K288="Completed",IF($L288="","",$L288-$B288),TODAY()-$B288)))</f>
        <v/>
      </c>
      <c r="Q288" s="5" t="str">
        <f aca="false">IF($D288="","",IF($K288="Completed","",MAX($Q$1:$Q287)+1))</f>
        <v/>
      </c>
      <c r="R288" s="7"/>
    </row>
    <row r="289" customFormat="false" ht="15" hidden="false" customHeight="false" outlineLevel="0" collapsed="false">
      <c r="A289" s="5" t="str">
        <f aca="false">IF($D289="","",ROW()-1)</f>
        <v/>
      </c>
      <c r="B289" s="6"/>
      <c r="C289" s="7"/>
      <c r="D289" s="7"/>
      <c r="E289" s="7"/>
      <c r="F289" s="7"/>
      <c r="G289" s="8"/>
      <c r="H289" s="6"/>
      <c r="I289" s="9"/>
      <c r="J289" s="10"/>
      <c r="K289" s="8"/>
      <c r="L289" s="6"/>
      <c r="M289" s="11" t="str">
        <f aca="true">IF($D289="","",IF($K289="Completed",IF($L289="",$H289,$L289),IF($H289="","",IF($H289&lt;TODAY(),TODAY(),$H289))))</f>
        <v/>
      </c>
      <c r="N289" s="12" t="str">
        <f aca="true">IF($D289="","",IF($K289="Completed","Completed",IF($H289="","No Due Date",IF($H289&lt;TODAY(),"Carried Forward",IF($H289=TODAY(),"Due Today","Upcoming")))))</f>
        <v/>
      </c>
      <c r="O289" s="5" t="str">
        <f aca="true">IF($D289="","",IF($I289="","",IF($K289="Completed","",$I289-TODAY())))</f>
        <v/>
      </c>
      <c r="P289" s="5" t="str">
        <f aca="true">IF($D289="","",IF($B289="","",IF($K289="Completed",IF($L289="","",$L289-$B289),TODAY()-$B289)))</f>
        <v/>
      </c>
      <c r="Q289" s="5" t="str">
        <f aca="false">IF($D289="","",IF($K289="Completed","",MAX($Q$1:$Q288)+1))</f>
        <v/>
      </c>
      <c r="R289" s="7"/>
    </row>
    <row r="290" customFormat="false" ht="15" hidden="false" customHeight="false" outlineLevel="0" collapsed="false">
      <c r="A290" s="5" t="str">
        <f aca="false">IF($D290="","",ROW()-1)</f>
        <v/>
      </c>
      <c r="B290" s="6"/>
      <c r="C290" s="7"/>
      <c r="D290" s="7"/>
      <c r="E290" s="7"/>
      <c r="F290" s="7"/>
      <c r="G290" s="8"/>
      <c r="H290" s="6"/>
      <c r="I290" s="9"/>
      <c r="J290" s="10"/>
      <c r="K290" s="8"/>
      <c r="L290" s="6"/>
      <c r="M290" s="11" t="str">
        <f aca="true">IF($D290="","",IF($K290="Completed",IF($L290="",$H290,$L290),IF($H290="","",IF($H290&lt;TODAY(),TODAY(),$H290))))</f>
        <v/>
      </c>
      <c r="N290" s="12" t="str">
        <f aca="true">IF($D290="","",IF($K290="Completed","Completed",IF($H290="","No Due Date",IF($H290&lt;TODAY(),"Carried Forward",IF($H290=TODAY(),"Due Today","Upcoming")))))</f>
        <v/>
      </c>
      <c r="O290" s="5" t="str">
        <f aca="true">IF($D290="","",IF($I290="","",IF($K290="Completed","",$I290-TODAY())))</f>
        <v/>
      </c>
      <c r="P290" s="5" t="str">
        <f aca="true">IF($D290="","",IF($B290="","",IF($K290="Completed",IF($L290="","",$L290-$B290),TODAY()-$B290)))</f>
        <v/>
      </c>
      <c r="Q290" s="5" t="str">
        <f aca="false">IF($D290="","",IF($K290="Completed","",MAX($Q$1:$Q289)+1))</f>
        <v/>
      </c>
      <c r="R290" s="7"/>
    </row>
    <row r="291" customFormat="false" ht="15" hidden="false" customHeight="false" outlineLevel="0" collapsed="false">
      <c r="A291" s="5" t="str">
        <f aca="false">IF($D291="","",ROW()-1)</f>
        <v/>
      </c>
      <c r="B291" s="6"/>
      <c r="C291" s="7"/>
      <c r="D291" s="7"/>
      <c r="E291" s="7"/>
      <c r="F291" s="7"/>
      <c r="G291" s="8"/>
      <c r="H291" s="6"/>
      <c r="I291" s="9"/>
      <c r="J291" s="10"/>
      <c r="K291" s="8"/>
      <c r="L291" s="6"/>
      <c r="M291" s="11" t="str">
        <f aca="true">IF($D291="","",IF($K291="Completed",IF($L291="",$H291,$L291),IF($H291="","",IF($H291&lt;TODAY(),TODAY(),$H291))))</f>
        <v/>
      </c>
      <c r="N291" s="12" t="str">
        <f aca="true">IF($D291="","",IF($K291="Completed","Completed",IF($H291="","No Due Date",IF($H291&lt;TODAY(),"Carried Forward",IF($H291=TODAY(),"Due Today","Upcoming")))))</f>
        <v/>
      </c>
      <c r="O291" s="5" t="str">
        <f aca="true">IF($D291="","",IF($I291="","",IF($K291="Completed","",$I291-TODAY())))</f>
        <v/>
      </c>
      <c r="P291" s="5" t="str">
        <f aca="true">IF($D291="","",IF($B291="","",IF($K291="Completed",IF($L291="","",$L291-$B291),TODAY()-$B291)))</f>
        <v/>
      </c>
      <c r="Q291" s="5" t="str">
        <f aca="false">IF($D291="","",IF($K291="Completed","",MAX($Q$1:$Q290)+1))</f>
        <v/>
      </c>
      <c r="R291" s="7"/>
    </row>
    <row r="292" customFormat="false" ht="15" hidden="false" customHeight="false" outlineLevel="0" collapsed="false">
      <c r="A292" s="5" t="str">
        <f aca="false">IF($D292="","",ROW()-1)</f>
        <v/>
      </c>
      <c r="B292" s="6"/>
      <c r="C292" s="7"/>
      <c r="D292" s="7"/>
      <c r="E292" s="7"/>
      <c r="F292" s="7"/>
      <c r="G292" s="8"/>
      <c r="H292" s="6"/>
      <c r="I292" s="9"/>
      <c r="J292" s="10"/>
      <c r="K292" s="8"/>
      <c r="L292" s="6"/>
      <c r="M292" s="11" t="str">
        <f aca="true">IF($D292="","",IF($K292="Completed",IF($L292="",$H292,$L292),IF($H292="","",IF($H292&lt;TODAY(),TODAY(),$H292))))</f>
        <v/>
      </c>
      <c r="N292" s="12" t="str">
        <f aca="true">IF($D292="","",IF($K292="Completed","Completed",IF($H292="","No Due Date",IF($H292&lt;TODAY(),"Carried Forward",IF($H292=TODAY(),"Due Today","Upcoming")))))</f>
        <v/>
      </c>
      <c r="O292" s="5" t="str">
        <f aca="true">IF($D292="","",IF($I292="","",IF($K292="Completed","",$I292-TODAY())))</f>
        <v/>
      </c>
      <c r="P292" s="5" t="str">
        <f aca="true">IF($D292="","",IF($B292="","",IF($K292="Completed",IF($L292="","",$L292-$B292),TODAY()-$B292)))</f>
        <v/>
      </c>
      <c r="Q292" s="5" t="str">
        <f aca="false">IF($D292="","",IF($K292="Completed","",MAX($Q$1:$Q291)+1))</f>
        <v/>
      </c>
      <c r="R292" s="7"/>
    </row>
    <row r="293" customFormat="false" ht="15" hidden="false" customHeight="false" outlineLevel="0" collapsed="false">
      <c r="A293" s="5" t="str">
        <f aca="false">IF($D293="","",ROW()-1)</f>
        <v/>
      </c>
      <c r="B293" s="6"/>
      <c r="C293" s="7"/>
      <c r="D293" s="7"/>
      <c r="E293" s="7"/>
      <c r="F293" s="7"/>
      <c r="G293" s="8"/>
      <c r="H293" s="6"/>
      <c r="I293" s="9"/>
      <c r="J293" s="10"/>
      <c r="K293" s="8"/>
      <c r="L293" s="6"/>
      <c r="M293" s="11" t="str">
        <f aca="true">IF($D293="","",IF($K293="Completed",IF($L293="",$H293,$L293),IF($H293="","",IF($H293&lt;TODAY(),TODAY(),$H293))))</f>
        <v/>
      </c>
      <c r="N293" s="12" t="str">
        <f aca="true">IF($D293="","",IF($K293="Completed","Completed",IF($H293="","No Due Date",IF($H293&lt;TODAY(),"Carried Forward",IF($H293=TODAY(),"Due Today","Upcoming")))))</f>
        <v/>
      </c>
      <c r="O293" s="5" t="str">
        <f aca="true">IF($D293="","",IF($I293="","",IF($K293="Completed","",$I293-TODAY())))</f>
        <v/>
      </c>
      <c r="P293" s="5" t="str">
        <f aca="true">IF($D293="","",IF($B293="","",IF($K293="Completed",IF($L293="","",$L293-$B293),TODAY()-$B293)))</f>
        <v/>
      </c>
      <c r="Q293" s="5" t="str">
        <f aca="false">IF($D293="","",IF($K293="Completed","",MAX($Q$1:$Q292)+1))</f>
        <v/>
      </c>
      <c r="R293" s="7"/>
    </row>
    <row r="294" customFormat="false" ht="15" hidden="false" customHeight="false" outlineLevel="0" collapsed="false">
      <c r="A294" s="5" t="str">
        <f aca="false">IF($D294="","",ROW()-1)</f>
        <v/>
      </c>
      <c r="B294" s="6"/>
      <c r="C294" s="7"/>
      <c r="D294" s="7"/>
      <c r="E294" s="7"/>
      <c r="F294" s="7"/>
      <c r="G294" s="8"/>
      <c r="H294" s="6"/>
      <c r="I294" s="9"/>
      <c r="J294" s="10"/>
      <c r="K294" s="8"/>
      <c r="L294" s="6"/>
      <c r="M294" s="11" t="str">
        <f aca="true">IF($D294="","",IF($K294="Completed",IF($L294="",$H294,$L294),IF($H294="","",IF($H294&lt;TODAY(),TODAY(),$H294))))</f>
        <v/>
      </c>
      <c r="N294" s="12" t="str">
        <f aca="true">IF($D294="","",IF($K294="Completed","Completed",IF($H294="","No Due Date",IF($H294&lt;TODAY(),"Carried Forward",IF($H294=TODAY(),"Due Today","Upcoming")))))</f>
        <v/>
      </c>
      <c r="O294" s="5" t="str">
        <f aca="true">IF($D294="","",IF($I294="","",IF($K294="Completed","",$I294-TODAY())))</f>
        <v/>
      </c>
      <c r="P294" s="5" t="str">
        <f aca="true">IF($D294="","",IF($B294="","",IF($K294="Completed",IF($L294="","",$L294-$B294),TODAY()-$B294)))</f>
        <v/>
      </c>
      <c r="Q294" s="5" t="str">
        <f aca="false">IF($D294="","",IF($K294="Completed","",MAX($Q$1:$Q293)+1))</f>
        <v/>
      </c>
      <c r="R294" s="7"/>
    </row>
    <row r="295" customFormat="false" ht="15" hidden="false" customHeight="false" outlineLevel="0" collapsed="false">
      <c r="A295" s="5" t="str">
        <f aca="false">IF($D295="","",ROW()-1)</f>
        <v/>
      </c>
      <c r="B295" s="6"/>
      <c r="C295" s="7"/>
      <c r="D295" s="7"/>
      <c r="E295" s="7"/>
      <c r="F295" s="7"/>
      <c r="G295" s="8"/>
      <c r="H295" s="6"/>
      <c r="I295" s="9"/>
      <c r="J295" s="10"/>
      <c r="K295" s="8"/>
      <c r="L295" s="6"/>
      <c r="M295" s="11" t="str">
        <f aca="true">IF($D295="","",IF($K295="Completed",IF($L295="",$H295,$L295),IF($H295="","",IF($H295&lt;TODAY(),TODAY(),$H295))))</f>
        <v/>
      </c>
      <c r="N295" s="12" t="str">
        <f aca="true">IF($D295="","",IF($K295="Completed","Completed",IF($H295="","No Due Date",IF($H295&lt;TODAY(),"Carried Forward",IF($H295=TODAY(),"Due Today","Upcoming")))))</f>
        <v/>
      </c>
      <c r="O295" s="5" t="str">
        <f aca="true">IF($D295="","",IF($I295="","",IF($K295="Completed","",$I295-TODAY())))</f>
        <v/>
      </c>
      <c r="P295" s="5" t="str">
        <f aca="true">IF($D295="","",IF($B295="","",IF($K295="Completed",IF($L295="","",$L295-$B295),TODAY()-$B295)))</f>
        <v/>
      </c>
      <c r="Q295" s="5" t="str">
        <f aca="false">IF($D295="","",IF($K295="Completed","",MAX($Q$1:$Q294)+1))</f>
        <v/>
      </c>
      <c r="R295" s="7"/>
    </row>
    <row r="296" customFormat="false" ht="15" hidden="false" customHeight="false" outlineLevel="0" collapsed="false">
      <c r="A296" s="5" t="str">
        <f aca="false">IF($D296="","",ROW()-1)</f>
        <v/>
      </c>
      <c r="B296" s="6"/>
      <c r="C296" s="7"/>
      <c r="D296" s="7"/>
      <c r="E296" s="7"/>
      <c r="F296" s="7"/>
      <c r="G296" s="8"/>
      <c r="H296" s="6"/>
      <c r="I296" s="9"/>
      <c r="J296" s="10"/>
      <c r="K296" s="8"/>
      <c r="L296" s="6"/>
      <c r="M296" s="11" t="str">
        <f aca="true">IF($D296="","",IF($K296="Completed",IF($L296="",$H296,$L296),IF($H296="","",IF($H296&lt;TODAY(),TODAY(),$H296))))</f>
        <v/>
      </c>
      <c r="N296" s="12" t="str">
        <f aca="true">IF($D296="","",IF($K296="Completed","Completed",IF($H296="","No Due Date",IF($H296&lt;TODAY(),"Carried Forward",IF($H296=TODAY(),"Due Today","Upcoming")))))</f>
        <v/>
      </c>
      <c r="O296" s="5" t="str">
        <f aca="true">IF($D296="","",IF($I296="","",IF($K296="Completed","",$I296-TODAY())))</f>
        <v/>
      </c>
      <c r="P296" s="5" t="str">
        <f aca="true">IF($D296="","",IF($B296="","",IF($K296="Completed",IF($L296="","",$L296-$B296),TODAY()-$B296)))</f>
        <v/>
      </c>
      <c r="Q296" s="5" t="str">
        <f aca="false">IF($D296="","",IF($K296="Completed","",MAX($Q$1:$Q295)+1))</f>
        <v/>
      </c>
      <c r="R296" s="7"/>
    </row>
    <row r="297" customFormat="false" ht="15" hidden="false" customHeight="false" outlineLevel="0" collapsed="false">
      <c r="A297" s="5" t="str">
        <f aca="false">IF($D297="","",ROW()-1)</f>
        <v/>
      </c>
      <c r="B297" s="6"/>
      <c r="C297" s="7"/>
      <c r="D297" s="7"/>
      <c r="E297" s="7"/>
      <c r="F297" s="7"/>
      <c r="G297" s="8"/>
      <c r="H297" s="6"/>
      <c r="I297" s="9"/>
      <c r="J297" s="10"/>
      <c r="K297" s="8"/>
      <c r="L297" s="6"/>
      <c r="M297" s="11" t="str">
        <f aca="true">IF($D297="","",IF($K297="Completed",IF($L297="",$H297,$L297),IF($H297="","",IF($H297&lt;TODAY(),TODAY(),$H297))))</f>
        <v/>
      </c>
      <c r="N297" s="12" t="str">
        <f aca="true">IF($D297="","",IF($K297="Completed","Completed",IF($H297="","No Due Date",IF($H297&lt;TODAY(),"Carried Forward",IF($H297=TODAY(),"Due Today","Upcoming")))))</f>
        <v/>
      </c>
      <c r="O297" s="5" t="str">
        <f aca="true">IF($D297="","",IF($I297="","",IF($K297="Completed","",$I297-TODAY())))</f>
        <v/>
      </c>
      <c r="P297" s="5" t="str">
        <f aca="true">IF($D297="","",IF($B297="","",IF($K297="Completed",IF($L297="","",$L297-$B297),TODAY()-$B297)))</f>
        <v/>
      </c>
      <c r="Q297" s="5" t="str">
        <f aca="false">IF($D297="","",IF($K297="Completed","",MAX($Q$1:$Q296)+1))</f>
        <v/>
      </c>
      <c r="R297" s="7"/>
    </row>
    <row r="298" customFormat="false" ht="15" hidden="false" customHeight="false" outlineLevel="0" collapsed="false">
      <c r="A298" s="5" t="str">
        <f aca="false">IF($D298="","",ROW()-1)</f>
        <v/>
      </c>
      <c r="B298" s="6"/>
      <c r="C298" s="7"/>
      <c r="D298" s="7"/>
      <c r="E298" s="7"/>
      <c r="F298" s="7"/>
      <c r="G298" s="8"/>
      <c r="H298" s="6"/>
      <c r="I298" s="9"/>
      <c r="J298" s="10"/>
      <c r="K298" s="8"/>
      <c r="L298" s="6"/>
      <c r="M298" s="11" t="str">
        <f aca="true">IF($D298="","",IF($K298="Completed",IF($L298="",$H298,$L298),IF($H298="","",IF($H298&lt;TODAY(),TODAY(),$H298))))</f>
        <v/>
      </c>
      <c r="N298" s="12" t="str">
        <f aca="true">IF($D298="","",IF($K298="Completed","Completed",IF($H298="","No Due Date",IF($H298&lt;TODAY(),"Carried Forward",IF($H298=TODAY(),"Due Today","Upcoming")))))</f>
        <v/>
      </c>
      <c r="O298" s="5" t="str">
        <f aca="true">IF($D298="","",IF($I298="","",IF($K298="Completed","",$I298-TODAY())))</f>
        <v/>
      </c>
      <c r="P298" s="5" t="str">
        <f aca="true">IF($D298="","",IF($B298="","",IF($K298="Completed",IF($L298="","",$L298-$B298),TODAY()-$B298)))</f>
        <v/>
      </c>
      <c r="Q298" s="5" t="str">
        <f aca="false">IF($D298="","",IF($K298="Completed","",MAX($Q$1:$Q297)+1))</f>
        <v/>
      </c>
      <c r="R298" s="7"/>
    </row>
    <row r="299" customFormat="false" ht="15" hidden="false" customHeight="false" outlineLevel="0" collapsed="false">
      <c r="A299" s="5" t="str">
        <f aca="false">IF($D299="","",ROW()-1)</f>
        <v/>
      </c>
      <c r="B299" s="6"/>
      <c r="C299" s="7"/>
      <c r="D299" s="7"/>
      <c r="E299" s="7"/>
      <c r="F299" s="7"/>
      <c r="G299" s="8"/>
      <c r="H299" s="6"/>
      <c r="I299" s="9"/>
      <c r="J299" s="10"/>
      <c r="K299" s="8"/>
      <c r="L299" s="6"/>
      <c r="M299" s="11" t="str">
        <f aca="true">IF($D299="","",IF($K299="Completed",IF($L299="",$H299,$L299),IF($H299="","",IF($H299&lt;TODAY(),TODAY(),$H299))))</f>
        <v/>
      </c>
      <c r="N299" s="12" t="str">
        <f aca="true">IF($D299="","",IF($K299="Completed","Completed",IF($H299="","No Due Date",IF($H299&lt;TODAY(),"Carried Forward",IF($H299=TODAY(),"Due Today","Upcoming")))))</f>
        <v/>
      </c>
      <c r="O299" s="5" t="str">
        <f aca="true">IF($D299="","",IF($I299="","",IF($K299="Completed","",$I299-TODAY())))</f>
        <v/>
      </c>
      <c r="P299" s="5" t="str">
        <f aca="true">IF($D299="","",IF($B299="","",IF($K299="Completed",IF($L299="","",$L299-$B299),TODAY()-$B299)))</f>
        <v/>
      </c>
      <c r="Q299" s="5" t="str">
        <f aca="false">IF($D299="","",IF($K299="Completed","",MAX($Q$1:$Q298)+1))</f>
        <v/>
      </c>
      <c r="R299" s="7"/>
    </row>
    <row r="300" customFormat="false" ht="15" hidden="false" customHeight="false" outlineLevel="0" collapsed="false">
      <c r="A300" s="5" t="str">
        <f aca="false">IF($D300="","",ROW()-1)</f>
        <v/>
      </c>
      <c r="B300" s="6"/>
      <c r="C300" s="7"/>
      <c r="D300" s="7"/>
      <c r="E300" s="7"/>
      <c r="F300" s="7"/>
      <c r="G300" s="8"/>
      <c r="H300" s="6"/>
      <c r="I300" s="9"/>
      <c r="J300" s="10"/>
      <c r="K300" s="8"/>
      <c r="L300" s="6"/>
      <c r="M300" s="11" t="str">
        <f aca="true">IF($D300="","",IF($K300="Completed",IF($L300="",$H300,$L300),IF($H300="","",IF($H300&lt;TODAY(),TODAY(),$H300))))</f>
        <v/>
      </c>
      <c r="N300" s="12" t="str">
        <f aca="true">IF($D300="","",IF($K300="Completed","Completed",IF($H300="","No Due Date",IF($H300&lt;TODAY(),"Carried Forward",IF($H300=TODAY(),"Due Today","Upcoming")))))</f>
        <v/>
      </c>
      <c r="O300" s="5" t="str">
        <f aca="true">IF($D300="","",IF($I300="","",IF($K300="Completed","",$I300-TODAY())))</f>
        <v/>
      </c>
      <c r="P300" s="5" t="str">
        <f aca="true">IF($D300="","",IF($B300="","",IF($K300="Completed",IF($L300="","",$L300-$B300),TODAY()-$B300)))</f>
        <v/>
      </c>
      <c r="Q300" s="5" t="str">
        <f aca="false">IF($D300="","",IF($K300="Completed","",MAX($Q$1:$Q299)+1))</f>
        <v/>
      </c>
      <c r="R300" s="7"/>
    </row>
    <row r="301" customFormat="false" ht="15" hidden="false" customHeight="false" outlineLevel="0" collapsed="false">
      <c r="A301" s="5" t="str">
        <f aca="false">IF($D301="","",ROW()-1)</f>
        <v/>
      </c>
      <c r="B301" s="6"/>
      <c r="C301" s="7"/>
      <c r="D301" s="7"/>
      <c r="E301" s="7"/>
      <c r="F301" s="7"/>
      <c r="G301" s="8"/>
      <c r="H301" s="6"/>
      <c r="I301" s="9"/>
      <c r="J301" s="10"/>
      <c r="K301" s="8"/>
      <c r="L301" s="6"/>
      <c r="M301" s="11" t="str">
        <f aca="true">IF($D301="","",IF($K301="Completed",IF($L301="",$H301,$L301),IF($H301="","",IF($H301&lt;TODAY(),TODAY(),$H301))))</f>
        <v/>
      </c>
      <c r="N301" s="12" t="str">
        <f aca="true">IF($D301="","",IF($K301="Completed","Completed",IF($H301="","No Due Date",IF($H301&lt;TODAY(),"Carried Forward",IF($H301=TODAY(),"Due Today","Upcoming")))))</f>
        <v/>
      </c>
      <c r="O301" s="5" t="str">
        <f aca="true">IF($D301="","",IF($I301="","",IF($K301="Completed","",$I301-TODAY())))</f>
        <v/>
      </c>
      <c r="P301" s="5" t="str">
        <f aca="true">IF($D301="","",IF($B301="","",IF($K301="Completed",IF($L301="","",$L301-$B301),TODAY()-$B301)))</f>
        <v/>
      </c>
      <c r="Q301" s="5" t="str">
        <f aca="false">IF($D301="","",IF($K301="Completed","",MAX($Q$1:$Q300)+1))</f>
        <v/>
      </c>
      <c r="R301" s="7"/>
    </row>
    <row r="302" customFormat="false" ht="15" hidden="false" customHeight="false" outlineLevel="0" collapsed="false">
      <c r="A302" s="5" t="str">
        <f aca="false">IF($D302="","",ROW()-1)</f>
        <v/>
      </c>
      <c r="B302" s="6"/>
      <c r="C302" s="7"/>
      <c r="D302" s="7"/>
      <c r="E302" s="7"/>
      <c r="F302" s="7"/>
      <c r="G302" s="8"/>
      <c r="H302" s="6"/>
      <c r="I302" s="9"/>
      <c r="J302" s="10"/>
      <c r="K302" s="8"/>
      <c r="L302" s="6"/>
      <c r="M302" s="11" t="str">
        <f aca="true">IF($D302="","",IF($K302="Completed",IF($L302="",$H302,$L302),IF($H302="","",IF($H302&lt;TODAY(),TODAY(),$H302))))</f>
        <v/>
      </c>
      <c r="N302" s="12" t="str">
        <f aca="true">IF($D302="","",IF($K302="Completed","Completed",IF($H302="","No Due Date",IF($H302&lt;TODAY(),"Carried Forward",IF($H302=TODAY(),"Due Today","Upcoming")))))</f>
        <v/>
      </c>
      <c r="O302" s="5" t="str">
        <f aca="true">IF($D302="","",IF($I302="","",IF($K302="Completed","",$I302-TODAY())))</f>
        <v/>
      </c>
      <c r="P302" s="5" t="str">
        <f aca="true">IF($D302="","",IF($B302="","",IF($K302="Completed",IF($L302="","",$L302-$B302),TODAY()-$B302)))</f>
        <v/>
      </c>
      <c r="Q302" s="5" t="str">
        <f aca="false">IF($D302="","",IF($K302="Completed","",MAX($Q$1:$Q301)+1))</f>
        <v/>
      </c>
      <c r="R302" s="7"/>
    </row>
    <row r="303" customFormat="false" ht="15" hidden="false" customHeight="false" outlineLevel="0" collapsed="false">
      <c r="A303" s="5" t="str">
        <f aca="false">IF($D303="","",ROW()-1)</f>
        <v/>
      </c>
      <c r="B303" s="6"/>
      <c r="C303" s="7"/>
      <c r="D303" s="7"/>
      <c r="E303" s="7"/>
      <c r="F303" s="7"/>
      <c r="G303" s="8"/>
      <c r="H303" s="6"/>
      <c r="I303" s="9"/>
      <c r="J303" s="10"/>
      <c r="K303" s="8"/>
      <c r="L303" s="6"/>
      <c r="M303" s="11" t="str">
        <f aca="true">IF($D303="","",IF($K303="Completed",IF($L303="",$H303,$L303),IF($H303="","",IF($H303&lt;TODAY(),TODAY(),$H303))))</f>
        <v/>
      </c>
      <c r="N303" s="12" t="str">
        <f aca="true">IF($D303="","",IF($K303="Completed","Completed",IF($H303="","No Due Date",IF($H303&lt;TODAY(),"Carried Forward",IF($H303=TODAY(),"Due Today","Upcoming")))))</f>
        <v/>
      </c>
      <c r="O303" s="5" t="str">
        <f aca="true">IF($D303="","",IF($I303="","",IF($K303="Completed","",$I303-TODAY())))</f>
        <v/>
      </c>
      <c r="P303" s="5" t="str">
        <f aca="true">IF($D303="","",IF($B303="","",IF($K303="Completed",IF($L303="","",$L303-$B303),TODAY()-$B303)))</f>
        <v/>
      </c>
      <c r="Q303" s="5" t="str">
        <f aca="false">IF($D303="","",IF($K303="Completed","",MAX($Q$1:$Q302)+1))</f>
        <v/>
      </c>
      <c r="R303" s="7"/>
    </row>
    <row r="304" customFormat="false" ht="15" hidden="false" customHeight="false" outlineLevel="0" collapsed="false">
      <c r="A304" s="5" t="str">
        <f aca="false">IF($D304="","",ROW()-1)</f>
        <v/>
      </c>
      <c r="B304" s="6"/>
      <c r="C304" s="7"/>
      <c r="D304" s="7"/>
      <c r="E304" s="7"/>
      <c r="F304" s="7"/>
      <c r="G304" s="8"/>
      <c r="H304" s="6"/>
      <c r="I304" s="9"/>
      <c r="J304" s="10"/>
      <c r="K304" s="8"/>
      <c r="L304" s="6"/>
      <c r="M304" s="11" t="str">
        <f aca="true">IF($D304="","",IF($K304="Completed",IF($L304="",$H304,$L304),IF($H304="","",IF($H304&lt;TODAY(),TODAY(),$H304))))</f>
        <v/>
      </c>
      <c r="N304" s="12" t="str">
        <f aca="true">IF($D304="","",IF($K304="Completed","Completed",IF($H304="","No Due Date",IF($H304&lt;TODAY(),"Carried Forward",IF($H304=TODAY(),"Due Today","Upcoming")))))</f>
        <v/>
      </c>
      <c r="O304" s="5" t="str">
        <f aca="true">IF($D304="","",IF($I304="","",IF($K304="Completed","",$I304-TODAY())))</f>
        <v/>
      </c>
      <c r="P304" s="5" t="str">
        <f aca="true">IF($D304="","",IF($B304="","",IF($K304="Completed",IF($L304="","",$L304-$B304),TODAY()-$B304)))</f>
        <v/>
      </c>
      <c r="Q304" s="5" t="str">
        <f aca="false">IF($D304="","",IF($K304="Completed","",MAX($Q$1:$Q303)+1))</f>
        <v/>
      </c>
      <c r="R304" s="7"/>
    </row>
    <row r="305" customFormat="false" ht="15" hidden="false" customHeight="false" outlineLevel="0" collapsed="false">
      <c r="A305" s="5" t="str">
        <f aca="false">IF($D305="","",ROW()-1)</f>
        <v/>
      </c>
      <c r="B305" s="6"/>
      <c r="C305" s="7"/>
      <c r="D305" s="7"/>
      <c r="E305" s="7"/>
      <c r="F305" s="7"/>
      <c r="G305" s="8"/>
      <c r="H305" s="6"/>
      <c r="I305" s="9"/>
      <c r="J305" s="10"/>
      <c r="K305" s="8"/>
      <c r="L305" s="6"/>
      <c r="M305" s="11" t="str">
        <f aca="true">IF($D305="","",IF($K305="Completed",IF($L305="",$H305,$L305),IF($H305="","",IF($H305&lt;TODAY(),TODAY(),$H305))))</f>
        <v/>
      </c>
      <c r="N305" s="12" t="str">
        <f aca="true">IF($D305="","",IF($K305="Completed","Completed",IF($H305="","No Due Date",IF($H305&lt;TODAY(),"Carried Forward",IF($H305=TODAY(),"Due Today","Upcoming")))))</f>
        <v/>
      </c>
      <c r="O305" s="5" t="str">
        <f aca="true">IF($D305="","",IF($I305="","",IF($K305="Completed","",$I305-TODAY())))</f>
        <v/>
      </c>
      <c r="P305" s="5" t="str">
        <f aca="true">IF($D305="","",IF($B305="","",IF($K305="Completed",IF($L305="","",$L305-$B305),TODAY()-$B305)))</f>
        <v/>
      </c>
      <c r="Q305" s="5" t="str">
        <f aca="false">IF($D305="","",IF($K305="Completed","",MAX($Q$1:$Q304)+1))</f>
        <v/>
      </c>
      <c r="R305" s="7"/>
    </row>
    <row r="306" customFormat="false" ht="15" hidden="false" customHeight="false" outlineLevel="0" collapsed="false">
      <c r="A306" s="5" t="str">
        <f aca="false">IF($D306="","",ROW()-1)</f>
        <v/>
      </c>
      <c r="B306" s="6"/>
      <c r="C306" s="7"/>
      <c r="D306" s="7"/>
      <c r="E306" s="7"/>
      <c r="F306" s="7"/>
      <c r="G306" s="8"/>
      <c r="H306" s="6"/>
      <c r="I306" s="9"/>
      <c r="J306" s="10"/>
      <c r="K306" s="8"/>
      <c r="L306" s="6"/>
      <c r="M306" s="11" t="str">
        <f aca="true">IF($D306="","",IF($K306="Completed",IF($L306="",$H306,$L306),IF($H306="","",IF($H306&lt;TODAY(),TODAY(),$H306))))</f>
        <v/>
      </c>
      <c r="N306" s="12" t="str">
        <f aca="true">IF($D306="","",IF($K306="Completed","Completed",IF($H306="","No Due Date",IF($H306&lt;TODAY(),"Carried Forward",IF($H306=TODAY(),"Due Today","Upcoming")))))</f>
        <v/>
      </c>
      <c r="O306" s="5" t="str">
        <f aca="true">IF($D306="","",IF($I306="","",IF($K306="Completed","",$I306-TODAY())))</f>
        <v/>
      </c>
      <c r="P306" s="5" t="str">
        <f aca="true">IF($D306="","",IF($B306="","",IF($K306="Completed",IF($L306="","",$L306-$B306),TODAY()-$B306)))</f>
        <v/>
      </c>
      <c r="Q306" s="5" t="str">
        <f aca="false">IF($D306="","",IF($K306="Completed","",MAX($Q$1:$Q305)+1))</f>
        <v/>
      </c>
      <c r="R306" s="7"/>
    </row>
    <row r="307" customFormat="false" ht="15" hidden="false" customHeight="false" outlineLevel="0" collapsed="false">
      <c r="A307" s="5" t="str">
        <f aca="false">IF($D307="","",ROW()-1)</f>
        <v/>
      </c>
      <c r="B307" s="6"/>
      <c r="C307" s="7"/>
      <c r="D307" s="7"/>
      <c r="E307" s="7"/>
      <c r="F307" s="7"/>
      <c r="G307" s="8"/>
      <c r="H307" s="6"/>
      <c r="I307" s="9"/>
      <c r="J307" s="10"/>
      <c r="K307" s="8"/>
      <c r="L307" s="6"/>
      <c r="M307" s="11" t="str">
        <f aca="true">IF($D307="","",IF($K307="Completed",IF($L307="",$H307,$L307),IF($H307="","",IF($H307&lt;TODAY(),TODAY(),$H307))))</f>
        <v/>
      </c>
      <c r="N307" s="12" t="str">
        <f aca="true">IF($D307="","",IF($K307="Completed","Completed",IF($H307="","No Due Date",IF($H307&lt;TODAY(),"Carried Forward",IF($H307=TODAY(),"Due Today","Upcoming")))))</f>
        <v/>
      </c>
      <c r="O307" s="5" t="str">
        <f aca="true">IF($D307="","",IF($I307="","",IF($K307="Completed","",$I307-TODAY())))</f>
        <v/>
      </c>
      <c r="P307" s="5" t="str">
        <f aca="true">IF($D307="","",IF($B307="","",IF($K307="Completed",IF($L307="","",$L307-$B307),TODAY()-$B307)))</f>
        <v/>
      </c>
      <c r="Q307" s="5" t="str">
        <f aca="false">IF($D307="","",IF($K307="Completed","",MAX($Q$1:$Q306)+1))</f>
        <v/>
      </c>
      <c r="R307" s="7"/>
    </row>
    <row r="308" customFormat="false" ht="15" hidden="false" customHeight="false" outlineLevel="0" collapsed="false">
      <c r="A308" s="5" t="str">
        <f aca="false">IF($D308="","",ROW()-1)</f>
        <v/>
      </c>
      <c r="B308" s="6"/>
      <c r="C308" s="7"/>
      <c r="D308" s="7"/>
      <c r="E308" s="7"/>
      <c r="F308" s="7"/>
      <c r="G308" s="8"/>
      <c r="H308" s="6"/>
      <c r="I308" s="9"/>
      <c r="J308" s="10"/>
      <c r="K308" s="8"/>
      <c r="L308" s="6"/>
      <c r="M308" s="11" t="str">
        <f aca="true">IF($D308="","",IF($K308="Completed",IF($L308="",$H308,$L308),IF($H308="","",IF($H308&lt;TODAY(),TODAY(),$H308))))</f>
        <v/>
      </c>
      <c r="N308" s="12" t="str">
        <f aca="true">IF($D308="","",IF($K308="Completed","Completed",IF($H308="","No Due Date",IF($H308&lt;TODAY(),"Carried Forward",IF($H308=TODAY(),"Due Today","Upcoming")))))</f>
        <v/>
      </c>
      <c r="O308" s="5" t="str">
        <f aca="true">IF($D308="","",IF($I308="","",IF($K308="Completed","",$I308-TODAY())))</f>
        <v/>
      </c>
      <c r="P308" s="5" t="str">
        <f aca="true">IF($D308="","",IF($B308="","",IF($K308="Completed",IF($L308="","",$L308-$B308),TODAY()-$B308)))</f>
        <v/>
      </c>
      <c r="Q308" s="5" t="str">
        <f aca="false">IF($D308="","",IF($K308="Completed","",MAX($Q$1:$Q307)+1))</f>
        <v/>
      </c>
      <c r="R308" s="7"/>
    </row>
    <row r="309" customFormat="false" ht="15" hidden="false" customHeight="false" outlineLevel="0" collapsed="false">
      <c r="A309" s="5" t="str">
        <f aca="false">IF($D309="","",ROW()-1)</f>
        <v/>
      </c>
      <c r="B309" s="6"/>
      <c r="C309" s="7"/>
      <c r="D309" s="7"/>
      <c r="E309" s="7"/>
      <c r="F309" s="7"/>
      <c r="G309" s="8"/>
      <c r="H309" s="6"/>
      <c r="I309" s="9"/>
      <c r="J309" s="10"/>
      <c r="K309" s="8"/>
      <c r="L309" s="6"/>
      <c r="M309" s="11" t="str">
        <f aca="true">IF($D309="","",IF($K309="Completed",IF($L309="",$H309,$L309),IF($H309="","",IF($H309&lt;TODAY(),TODAY(),$H309))))</f>
        <v/>
      </c>
      <c r="N309" s="12" t="str">
        <f aca="true">IF($D309="","",IF($K309="Completed","Completed",IF($H309="","No Due Date",IF($H309&lt;TODAY(),"Carried Forward",IF($H309=TODAY(),"Due Today","Upcoming")))))</f>
        <v/>
      </c>
      <c r="O309" s="5" t="str">
        <f aca="true">IF($D309="","",IF($I309="","",IF($K309="Completed","",$I309-TODAY())))</f>
        <v/>
      </c>
      <c r="P309" s="5" t="str">
        <f aca="true">IF($D309="","",IF($B309="","",IF($K309="Completed",IF($L309="","",$L309-$B309),TODAY()-$B309)))</f>
        <v/>
      </c>
      <c r="Q309" s="5" t="str">
        <f aca="false">IF($D309="","",IF($K309="Completed","",MAX($Q$1:$Q308)+1))</f>
        <v/>
      </c>
      <c r="R309" s="7"/>
    </row>
    <row r="310" customFormat="false" ht="15" hidden="false" customHeight="false" outlineLevel="0" collapsed="false">
      <c r="A310" s="5" t="str">
        <f aca="false">IF($D310="","",ROW()-1)</f>
        <v/>
      </c>
      <c r="B310" s="6"/>
      <c r="C310" s="7"/>
      <c r="D310" s="7"/>
      <c r="E310" s="7"/>
      <c r="F310" s="7"/>
      <c r="G310" s="8"/>
      <c r="H310" s="6"/>
      <c r="I310" s="9"/>
      <c r="J310" s="10"/>
      <c r="K310" s="8"/>
      <c r="L310" s="6"/>
      <c r="M310" s="11" t="str">
        <f aca="true">IF($D310="","",IF($K310="Completed",IF($L310="",$H310,$L310),IF($H310="","",IF($H310&lt;TODAY(),TODAY(),$H310))))</f>
        <v/>
      </c>
      <c r="N310" s="12" t="str">
        <f aca="true">IF($D310="","",IF($K310="Completed","Completed",IF($H310="","No Due Date",IF($H310&lt;TODAY(),"Carried Forward",IF($H310=TODAY(),"Due Today","Upcoming")))))</f>
        <v/>
      </c>
      <c r="O310" s="5" t="str">
        <f aca="true">IF($D310="","",IF($I310="","",IF($K310="Completed","",$I310-TODAY())))</f>
        <v/>
      </c>
      <c r="P310" s="5" t="str">
        <f aca="true">IF($D310="","",IF($B310="","",IF($K310="Completed",IF($L310="","",$L310-$B310),TODAY()-$B310)))</f>
        <v/>
      </c>
      <c r="Q310" s="5" t="str">
        <f aca="false">IF($D310="","",IF($K310="Completed","",MAX($Q$1:$Q309)+1))</f>
        <v/>
      </c>
      <c r="R310" s="7"/>
    </row>
    <row r="311" customFormat="false" ht="15" hidden="false" customHeight="false" outlineLevel="0" collapsed="false">
      <c r="A311" s="5" t="str">
        <f aca="false">IF($D311="","",ROW()-1)</f>
        <v/>
      </c>
      <c r="B311" s="6"/>
      <c r="C311" s="7"/>
      <c r="D311" s="7"/>
      <c r="E311" s="7"/>
      <c r="F311" s="7"/>
      <c r="G311" s="8"/>
      <c r="H311" s="6"/>
      <c r="I311" s="9"/>
      <c r="J311" s="10"/>
      <c r="K311" s="8"/>
      <c r="L311" s="6"/>
      <c r="M311" s="11" t="str">
        <f aca="true">IF($D311="","",IF($K311="Completed",IF($L311="",$H311,$L311),IF($H311="","",IF($H311&lt;TODAY(),TODAY(),$H311))))</f>
        <v/>
      </c>
      <c r="N311" s="12" t="str">
        <f aca="true">IF($D311="","",IF($K311="Completed","Completed",IF($H311="","No Due Date",IF($H311&lt;TODAY(),"Carried Forward",IF($H311=TODAY(),"Due Today","Upcoming")))))</f>
        <v/>
      </c>
      <c r="O311" s="5" t="str">
        <f aca="true">IF($D311="","",IF($I311="","",IF($K311="Completed","",$I311-TODAY())))</f>
        <v/>
      </c>
      <c r="P311" s="5" t="str">
        <f aca="true">IF($D311="","",IF($B311="","",IF($K311="Completed",IF($L311="","",$L311-$B311),TODAY()-$B311)))</f>
        <v/>
      </c>
      <c r="Q311" s="5" t="str">
        <f aca="false">IF($D311="","",IF($K311="Completed","",MAX($Q$1:$Q310)+1))</f>
        <v/>
      </c>
      <c r="R311" s="7"/>
    </row>
    <row r="312" customFormat="false" ht="15" hidden="false" customHeight="false" outlineLevel="0" collapsed="false">
      <c r="A312" s="5" t="str">
        <f aca="false">IF($D312="","",ROW()-1)</f>
        <v/>
      </c>
      <c r="B312" s="6"/>
      <c r="C312" s="7"/>
      <c r="D312" s="7"/>
      <c r="E312" s="7"/>
      <c r="F312" s="7"/>
      <c r="G312" s="8"/>
      <c r="H312" s="6"/>
      <c r="I312" s="9"/>
      <c r="J312" s="10"/>
      <c r="K312" s="8"/>
      <c r="L312" s="6"/>
      <c r="M312" s="11" t="str">
        <f aca="true">IF($D312="","",IF($K312="Completed",IF($L312="",$H312,$L312),IF($H312="","",IF($H312&lt;TODAY(),TODAY(),$H312))))</f>
        <v/>
      </c>
      <c r="N312" s="12" t="str">
        <f aca="true">IF($D312="","",IF($K312="Completed","Completed",IF($H312="","No Due Date",IF($H312&lt;TODAY(),"Carried Forward",IF($H312=TODAY(),"Due Today","Upcoming")))))</f>
        <v/>
      </c>
      <c r="O312" s="5" t="str">
        <f aca="true">IF($D312="","",IF($I312="","",IF($K312="Completed","",$I312-TODAY())))</f>
        <v/>
      </c>
      <c r="P312" s="5" t="str">
        <f aca="true">IF($D312="","",IF($B312="","",IF($K312="Completed",IF($L312="","",$L312-$B312),TODAY()-$B312)))</f>
        <v/>
      </c>
      <c r="Q312" s="5" t="str">
        <f aca="false">IF($D312="","",IF($K312="Completed","",MAX($Q$1:$Q311)+1))</f>
        <v/>
      </c>
      <c r="R312" s="7"/>
    </row>
    <row r="313" customFormat="false" ht="15" hidden="false" customHeight="false" outlineLevel="0" collapsed="false">
      <c r="A313" s="5" t="str">
        <f aca="false">IF($D313="","",ROW()-1)</f>
        <v/>
      </c>
      <c r="B313" s="6"/>
      <c r="C313" s="7"/>
      <c r="D313" s="7"/>
      <c r="E313" s="7"/>
      <c r="F313" s="7"/>
      <c r="G313" s="8"/>
      <c r="H313" s="6"/>
      <c r="I313" s="9"/>
      <c r="J313" s="10"/>
      <c r="K313" s="8"/>
      <c r="L313" s="6"/>
      <c r="M313" s="11" t="str">
        <f aca="true">IF($D313="","",IF($K313="Completed",IF($L313="",$H313,$L313),IF($H313="","",IF($H313&lt;TODAY(),TODAY(),$H313))))</f>
        <v/>
      </c>
      <c r="N313" s="12" t="str">
        <f aca="true">IF($D313="","",IF($K313="Completed","Completed",IF($H313="","No Due Date",IF($H313&lt;TODAY(),"Carried Forward",IF($H313=TODAY(),"Due Today","Upcoming")))))</f>
        <v/>
      </c>
      <c r="O313" s="5" t="str">
        <f aca="true">IF($D313="","",IF($I313="","",IF($K313="Completed","",$I313-TODAY())))</f>
        <v/>
      </c>
      <c r="P313" s="5" t="str">
        <f aca="true">IF($D313="","",IF($B313="","",IF($K313="Completed",IF($L313="","",$L313-$B313),TODAY()-$B313)))</f>
        <v/>
      </c>
      <c r="Q313" s="5" t="str">
        <f aca="false">IF($D313="","",IF($K313="Completed","",MAX($Q$1:$Q312)+1))</f>
        <v/>
      </c>
      <c r="R313" s="7"/>
    </row>
    <row r="314" customFormat="false" ht="15" hidden="false" customHeight="false" outlineLevel="0" collapsed="false">
      <c r="A314" s="5" t="str">
        <f aca="false">IF($D314="","",ROW()-1)</f>
        <v/>
      </c>
      <c r="B314" s="6"/>
      <c r="C314" s="7"/>
      <c r="D314" s="7"/>
      <c r="E314" s="7"/>
      <c r="F314" s="7"/>
      <c r="G314" s="8"/>
      <c r="H314" s="6"/>
      <c r="I314" s="9"/>
      <c r="J314" s="10"/>
      <c r="K314" s="8"/>
      <c r="L314" s="6"/>
      <c r="M314" s="11" t="str">
        <f aca="true">IF($D314="","",IF($K314="Completed",IF($L314="",$H314,$L314),IF($H314="","",IF($H314&lt;TODAY(),TODAY(),$H314))))</f>
        <v/>
      </c>
      <c r="N314" s="12" t="str">
        <f aca="true">IF($D314="","",IF($K314="Completed","Completed",IF($H314="","No Due Date",IF($H314&lt;TODAY(),"Carried Forward",IF($H314=TODAY(),"Due Today","Upcoming")))))</f>
        <v/>
      </c>
      <c r="O314" s="5" t="str">
        <f aca="true">IF($D314="","",IF($I314="","",IF($K314="Completed","",$I314-TODAY())))</f>
        <v/>
      </c>
      <c r="P314" s="5" t="str">
        <f aca="true">IF($D314="","",IF($B314="","",IF($K314="Completed",IF($L314="","",$L314-$B314),TODAY()-$B314)))</f>
        <v/>
      </c>
      <c r="Q314" s="5" t="str">
        <f aca="false">IF($D314="","",IF($K314="Completed","",MAX($Q$1:$Q313)+1))</f>
        <v/>
      </c>
      <c r="R314" s="7"/>
    </row>
    <row r="315" customFormat="false" ht="15" hidden="false" customHeight="false" outlineLevel="0" collapsed="false">
      <c r="A315" s="5" t="str">
        <f aca="false">IF($D315="","",ROW()-1)</f>
        <v/>
      </c>
      <c r="B315" s="6"/>
      <c r="C315" s="7"/>
      <c r="D315" s="7"/>
      <c r="E315" s="7"/>
      <c r="F315" s="7"/>
      <c r="G315" s="8"/>
      <c r="H315" s="6"/>
      <c r="I315" s="9"/>
      <c r="J315" s="10"/>
      <c r="K315" s="8"/>
      <c r="L315" s="6"/>
      <c r="M315" s="11" t="str">
        <f aca="true">IF($D315="","",IF($K315="Completed",IF($L315="",$H315,$L315),IF($H315="","",IF($H315&lt;TODAY(),TODAY(),$H315))))</f>
        <v/>
      </c>
      <c r="N315" s="12" t="str">
        <f aca="true">IF($D315="","",IF($K315="Completed","Completed",IF($H315="","No Due Date",IF($H315&lt;TODAY(),"Carried Forward",IF($H315=TODAY(),"Due Today","Upcoming")))))</f>
        <v/>
      </c>
      <c r="O315" s="5" t="str">
        <f aca="true">IF($D315="","",IF($I315="","",IF($K315="Completed","",$I315-TODAY())))</f>
        <v/>
      </c>
      <c r="P315" s="5" t="str">
        <f aca="true">IF($D315="","",IF($B315="","",IF($K315="Completed",IF($L315="","",$L315-$B315),TODAY()-$B315)))</f>
        <v/>
      </c>
      <c r="Q315" s="5" t="str">
        <f aca="false">IF($D315="","",IF($K315="Completed","",MAX($Q$1:$Q314)+1))</f>
        <v/>
      </c>
      <c r="R315" s="7"/>
    </row>
    <row r="316" customFormat="false" ht="15" hidden="false" customHeight="false" outlineLevel="0" collapsed="false">
      <c r="A316" s="5" t="str">
        <f aca="false">IF($D316="","",ROW()-1)</f>
        <v/>
      </c>
      <c r="B316" s="6"/>
      <c r="C316" s="7"/>
      <c r="D316" s="7"/>
      <c r="E316" s="7"/>
      <c r="F316" s="7"/>
      <c r="G316" s="8"/>
      <c r="H316" s="6"/>
      <c r="I316" s="9"/>
      <c r="J316" s="10"/>
      <c r="K316" s="8"/>
      <c r="L316" s="6"/>
      <c r="M316" s="11" t="str">
        <f aca="true">IF($D316="","",IF($K316="Completed",IF($L316="",$H316,$L316),IF($H316="","",IF($H316&lt;TODAY(),TODAY(),$H316))))</f>
        <v/>
      </c>
      <c r="N316" s="12" t="str">
        <f aca="true">IF($D316="","",IF($K316="Completed","Completed",IF($H316="","No Due Date",IF($H316&lt;TODAY(),"Carried Forward",IF($H316=TODAY(),"Due Today","Upcoming")))))</f>
        <v/>
      </c>
      <c r="O316" s="5" t="str">
        <f aca="true">IF($D316="","",IF($I316="","",IF($K316="Completed","",$I316-TODAY())))</f>
        <v/>
      </c>
      <c r="P316" s="5" t="str">
        <f aca="true">IF($D316="","",IF($B316="","",IF($K316="Completed",IF($L316="","",$L316-$B316),TODAY()-$B316)))</f>
        <v/>
      </c>
      <c r="Q316" s="5" t="str">
        <f aca="false">IF($D316="","",IF($K316="Completed","",MAX($Q$1:$Q315)+1))</f>
        <v/>
      </c>
      <c r="R316" s="7"/>
    </row>
    <row r="317" customFormat="false" ht="15" hidden="false" customHeight="false" outlineLevel="0" collapsed="false">
      <c r="A317" s="5" t="str">
        <f aca="false">IF($D317="","",ROW()-1)</f>
        <v/>
      </c>
      <c r="B317" s="6"/>
      <c r="C317" s="7"/>
      <c r="D317" s="7"/>
      <c r="E317" s="7"/>
      <c r="F317" s="7"/>
      <c r="G317" s="8"/>
      <c r="H317" s="6"/>
      <c r="I317" s="9"/>
      <c r="J317" s="10"/>
      <c r="K317" s="8"/>
      <c r="L317" s="6"/>
      <c r="M317" s="11" t="str">
        <f aca="true">IF($D317="","",IF($K317="Completed",IF($L317="",$H317,$L317),IF($H317="","",IF($H317&lt;TODAY(),TODAY(),$H317))))</f>
        <v/>
      </c>
      <c r="N317" s="12" t="str">
        <f aca="true">IF($D317="","",IF($K317="Completed","Completed",IF($H317="","No Due Date",IF($H317&lt;TODAY(),"Carried Forward",IF($H317=TODAY(),"Due Today","Upcoming")))))</f>
        <v/>
      </c>
      <c r="O317" s="5" t="str">
        <f aca="true">IF($D317="","",IF($I317="","",IF($K317="Completed","",$I317-TODAY())))</f>
        <v/>
      </c>
      <c r="P317" s="5" t="str">
        <f aca="true">IF($D317="","",IF($B317="","",IF($K317="Completed",IF($L317="","",$L317-$B317),TODAY()-$B317)))</f>
        <v/>
      </c>
      <c r="Q317" s="5" t="str">
        <f aca="false">IF($D317="","",IF($K317="Completed","",MAX($Q$1:$Q316)+1))</f>
        <v/>
      </c>
      <c r="R317" s="7"/>
    </row>
    <row r="318" customFormat="false" ht="15" hidden="false" customHeight="false" outlineLevel="0" collapsed="false">
      <c r="A318" s="5" t="str">
        <f aca="false">IF($D318="","",ROW()-1)</f>
        <v/>
      </c>
      <c r="B318" s="6"/>
      <c r="C318" s="7"/>
      <c r="D318" s="7"/>
      <c r="E318" s="7"/>
      <c r="F318" s="7"/>
      <c r="G318" s="8"/>
      <c r="H318" s="6"/>
      <c r="I318" s="9"/>
      <c r="J318" s="10"/>
      <c r="K318" s="8"/>
      <c r="L318" s="6"/>
      <c r="M318" s="11" t="str">
        <f aca="true">IF($D318="","",IF($K318="Completed",IF($L318="",$H318,$L318),IF($H318="","",IF($H318&lt;TODAY(),TODAY(),$H318))))</f>
        <v/>
      </c>
      <c r="N318" s="12" t="str">
        <f aca="true">IF($D318="","",IF($K318="Completed","Completed",IF($H318="","No Due Date",IF($H318&lt;TODAY(),"Carried Forward",IF($H318=TODAY(),"Due Today","Upcoming")))))</f>
        <v/>
      </c>
      <c r="O318" s="5" t="str">
        <f aca="true">IF($D318="","",IF($I318="","",IF($K318="Completed","",$I318-TODAY())))</f>
        <v/>
      </c>
      <c r="P318" s="5" t="str">
        <f aca="true">IF($D318="","",IF($B318="","",IF($K318="Completed",IF($L318="","",$L318-$B318),TODAY()-$B318)))</f>
        <v/>
      </c>
      <c r="Q318" s="5" t="str">
        <f aca="false">IF($D318="","",IF($K318="Completed","",MAX($Q$1:$Q317)+1))</f>
        <v/>
      </c>
      <c r="R318" s="7"/>
    </row>
    <row r="319" customFormat="false" ht="15" hidden="false" customHeight="false" outlineLevel="0" collapsed="false">
      <c r="A319" s="5" t="str">
        <f aca="false">IF($D319="","",ROW()-1)</f>
        <v/>
      </c>
      <c r="B319" s="6"/>
      <c r="C319" s="7"/>
      <c r="D319" s="7"/>
      <c r="E319" s="7"/>
      <c r="F319" s="7"/>
      <c r="G319" s="8"/>
      <c r="H319" s="6"/>
      <c r="I319" s="9"/>
      <c r="J319" s="10"/>
      <c r="K319" s="8"/>
      <c r="L319" s="6"/>
      <c r="M319" s="11" t="str">
        <f aca="true">IF($D319="","",IF($K319="Completed",IF($L319="",$H319,$L319),IF($H319="","",IF($H319&lt;TODAY(),TODAY(),$H319))))</f>
        <v/>
      </c>
      <c r="N319" s="12" t="str">
        <f aca="true">IF($D319="","",IF($K319="Completed","Completed",IF($H319="","No Due Date",IF($H319&lt;TODAY(),"Carried Forward",IF($H319=TODAY(),"Due Today","Upcoming")))))</f>
        <v/>
      </c>
      <c r="O319" s="5" t="str">
        <f aca="true">IF($D319="","",IF($I319="","",IF($K319="Completed","",$I319-TODAY())))</f>
        <v/>
      </c>
      <c r="P319" s="5" t="str">
        <f aca="true">IF($D319="","",IF($B319="","",IF($K319="Completed",IF($L319="","",$L319-$B319),TODAY()-$B319)))</f>
        <v/>
      </c>
      <c r="Q319" s="5" t="str">
        <f aca="false">IF($D319="","",IF($K319="Completed","",MAX($Q$1:$Q318)+1))</f>
        <v/>
      </c>
      <c r="R319" s="7"/>
    </row>
    <row r="320" customFormat="false" ht="15" hidden="false" customHeight="false" outlineLevel="0" collapsed="false">
      <c r="A320" s="5" t="str">
        <f aca="false">IF($D320="","",ROW()-1)</f>
        <v/>
      </c>
      <c r="B320" s="6"/>
      <c r="C320" s="7"/>
      <c r="D320" s="7"/>
      <c r="E320" s="7"/>
      <c r="F320" s="7"/>
      <c r="G320" s="8"/>
      <c r="H320" s="6"/>
      <c r="I320" s="9"/>
      <c r="J320" s="10"/>
      <c r="K320" s="8"/>
      <c r="L320" s="6"/>
      <c r="M320" s="11" t="str">
        <f aca="true">IF($D320="","",IF($K320="Completed",IF($L320="",$H320,$L320),IF($H320="","",IF($H320&lt;TODAY(),TODAY(),$H320))))</f>
        <v/>
      </c>
      <c r="N320" s="12" t="str">
        <f aca="true">IF($D320="","",IF($K320="Completed","Completed",IF($H320="","No Due Date",IF($H320&lt;TODAY(),"Carried Forward",IF($H320=TODAY(),"Due Today","Upcoming")))))</f>
        <v/>
      </c>
      <c r="O320" s="5" t="str">
        <f aca="true">IF($D320="","",IF($I320="","",IF($K320="Completed","",$I320-TODAY())))</f>
        <v/>
      </c>
      <c r="P320" s="5" t="str">
        <f aca="true">IF($D320="","",IF($B320="","",IF($K320="Completed",IF($L320="","",$L320-$B320),TODAY()-$B320)))</f>
        <v/>
      </c>
      <c r="Q320" s="5" t="str">
        <f aca="false">IF($D320="","",IF($K320="Completed","",MAX($Q$1:$Q319)+1))</f>
        <v/>
      </c>
      <c r="R320" s="7"/>
    </row>
    <row r="321" customFormat="false" ht="15" hidden="false" customHeight="false" outlineLevel="0" collapsed="false">
      <c r="A321" s="5" t="str">
        <f aca="false">IF($D321="","",ROW()-1)</f>
        <v/>
      </c>
      <c r="B321" s="6"/>
      <c r="C321" s="7"/>
      <c r="D321" s="7"/>
      <c r="E321" s="7"/>
      <c r="F321" s="7"/>
      <c r="G321" s="8"/>
      <c r="H321" s="6"/>
      <c r="I321" s="9"/>
      <c r="J321" s="10"/>
      <c r="K321" s="8"/>
      <c r="L321" s="6"/>
      <c r="M321" s="11" t="str">
        <f aca="true">IF($D321="","",IF($K321="Completed",IF($L321="",$H321,$L321),IF($H321="","",IF($H321&lt;TODAY(),TODAY(),$H321))))</f>
        <v/>
      </c>
      <c r="N321" s="12" t="str">
        <f aca="true">IF($D321="","",IF($K321="Completed","Completed",IF($H321="","No Due Date",IF($H321&lt;TODAY(),"Carried Forward",IF($H321=TODAY(),"Due Today","Upcoming")))))</f>
        <v/>
      </c>
      <c r="O321" s="5" t="str">
        <f aca="true">IF($D321="","",IF($I321="","",IF($K321="Completed","",$I321-TODAY())))</f>
        <v/>
      </c>
      <c r="P321" s="5" t="str">
        <f aca="true">IF($D321="","",IF($B321="","",IF($K321="Completed",IF($L321="","",$L321-$B321),TODAY()-$B321)))</f>
        <v/>
      </c>
      <c r="Q321" s="5" t="str">
        <f aca="false">IF($D321="","",IF($K321="Completed","",MAX($Q$1:$Q320)+1))</f>
        <v/>
      </c>
      <c r="R321" s="7"/>
    </row>
    <row r="322" customFormat="false" ht="15" hidden="false" customHeight="false" outlineLevel="0" collapsed="false">
      <c r="A322" s="5" t="str">
        <f aca="false">IF($D322="","",ROW()-1)</f>
        <v/>
      </c>
      <c r="B322" s="6"/>
      <c r="C322" s="7"/>
      <c r="D322" s="7"/>
      <c r="E322" s="7"/>
      <c r="F322" s="7"/>
      <c r="G322" s="8"/>
      <c r="H322" s="6"/>
      <c r="I322" s="9"/>
      <c r="J322" s="10"/>
      <c r="K322" s="8"/>
      <c r="L322" s="6"/>
      <c r="M322" s="11" t="str">
        <f aca="true">IF($D322="","",IF($K322="Completed",IF($L322="",$H322,$L322),IF($H322="","",IF($H322&lt;TODAY(),TODAY(),$H322))))</f>
        <v/>
      </c>
      <c r="N322" s="12" t="str">
        <f aca="true">IF($D322="","",IF($K322="Completed","Completed",IF($H322="","No Due Date",IF($H322&lt;TODAY(),"Carried Forward",IF($H322=TODAY(),"Due Today","Upcoming")))))</f>
        <v/>
      </c>
      <c r="O322" s="5" t="str">
        <f aca="true">IF($D322="","",IF($I322="","",IF($K322="Completed","",$I322-TODAY())))</f>
        <v/>
      </c>
      <c r="P322" s="5" t="str">
        <f aca="true">IF($D322="","",IF($B322="","",IF($K322="Completed",IF($L322="","",$L322-$B322),TODAY()-$B322)))</f>
        <v/>
      </c>
      <c r="Q322" s="5" t="str">
        <f aca="false">IF($D322="","",IF($K322="Completed","",MAX($Q$1:$Q321)+1))</f>
        <v/>
      </c>
      <c r="R322" s="7"/>
    </row>
    <row r="323" customFormat="false" ht="15" hidden="false" customHeight="false" outlineLevel="0" collapsed="false">
      <c r="A323" s="5" t="str">
        <f aca="false">IF($D323="","",ROW()-1)</f>
        <v/>
      </c>
      <c r="B323" s="6"/>
      <c r="C323" s="7"/>
      <c r="D323" s="7"/>
      <c r="E323" s="7"/>
      <c r="F323" s="7"/>
      <c r="G323" s="8"/>
      <c r="H323" s="6"/>
      <c r="I323" s="9"/>
      <c r="J323" s="10"/>
      <c r="K323" s="8"/>
      <c r="L323" s="6"/>
      <c r="M323" s="11" t="str">
        <f aca="true">IF($D323="","",IF($K323="Completed",IF($L323="",$H323,$L323),IF($H323="","",IF($H323&lt;TODAY(),TODAY(),$H323))))</f>
        <v/>
      </c>
      <c r="N323" s="12" t="str">
        <f aca="true">IF($D323="","",IF($K323="Completed","Completed",IF($H323="","No Due Date",IF($H323&lt;TODAY(),"Carried Forward",IF($H323=TODAY(),"Due Today","Upcoming")))))</f>
        <v/>
      </c>
      <c r="O323" s="5" t="str">
        <f aca="true">IF($D323="","",IF($I323="","",IF($K323="Completed","",$I323-TODAY())))</f>
        <v/>
      </c>
      <c r="P323" s="5" t="str">
        <f aca="true">IF($D323="","",IF($B323="","",IF($K323="Completed",IF($L323="","",$L323-$B323),TODAY()-$B323)))</f>
        <v/>
      </c>
      <c r="Q323" s="5" t="str">
        <f aca="false">IF($D323="","",IF($K323="Completed","",MAX($Q$1:$Q322)+1))</f>
        <v/>
      </c>
      <c r="R323" s="7"/>
    </row>
    <row r="324" customFormat="false" ht="15" hidden="false" customHeight="false" outlineLevel="0" collapsed="false">
      <c r="A324" s="5" t="str">
        <f aca="false">IF($D324="","",ROW()-1)</f>
        <v/>
      </c>
      <c r="B324" s="6"/>
      <c r="C324" s="7"/>
      <c r="D324" s="7"/>
      <c r="E324" s="7"/>
      <c r="F324" s="7"/>
      <c r="G324" s="8"/>
      <c r="H324" s="6"/>
      <c r="I324" s="9"/>
      <c r="J324" s="10"/>
      <c r="K324" s="8"/>
      <c r="L324" s="6"/>
      <c r="M324" s="11" t="str">
        <f aca="true">IF($D324="","",IF($K324="Completed",IF($L324="",$H324,$L324),IF($H324="","",IF($H324&lt;TODAY(),TODAY(),$H324))))</f>
        <v/>
      </c>
      <c r="N324" s="12" t="str">
        <f aca="true">IF($D324="","",IF($K324="Completed","Completed",IF($H324="","No Due Date",IF($H324&lt;TODAY(),"Carried Forward",IF($H324=TODAY(),"Due Today","Upcoming")))))</f>
        <v/>
      </c>
      <c r="O324" s="5" t="str">
        <f aca="true">IF($D324="","",IF($I324="","",IF($K324="Completed","",$I324-TODAY())))</f>
        <v/>
      </c>
      <c r="P324" s="5" t="str">
        <f aca="true">IF($D324="","",IF($B324="","",IF($K324="Completed",IF($L324="","",$L324-$B324),TODAY()-$B324)))</f>
        <v/>
      </c>
      <c r="Q324" s="5" t="str">
        <f aca="false">IF($D324="","",IF($K324="Completed","",MAX($Q$1:$Q323)+1))</f>
        <v/>
      </c>
      <c r="R324" s="7"/>
    </row>
    <row r="325" customFormat="false" ht="15" hidden="false" customHeight="false" outlineLevel="0" collapsed="false">
      <c r="A325" s="5" t="str">
        <f aca="false">IF($D325="","",ROW()-1)</f>
        <v/>
      </c>
      <c r="B325" s="6"/>
      <c r="C325" s="7"/>
      <c r="D325" s="7"/>
      <c r="E325" s="7"/>
      <c r="F325" s="7"/>
      <c r="G325" s="8"/>
      <c r="H325" s="6"/>
      <c r="I325" s="9"/>
      <c r="J325" s="10"/>
      <c r="K325" s="8"/>
      <c r="L325" s="6"/>
      <c r="M325" s="11" t="str">
        <f aca="true">IF($D325="","",IF($K325="Completed",IF($L325="",$H325,$L325),IF($H325="","",IF($H325&lt;TODAY(),TODAY(),$H325))))</f>
        <v/>
      </c>
      <c r="N325" s="12" t="str">
        <f aca="true">IF($D325="","",IF($K325="Completed","Completed",IF($H325="","No Due Date",IF($H325&lt;TODAY(),"Carried Forward",IF($H325=TODAY(),"Due Today","Upcoming")))))</f>
        <v/>
      </c>
      <c r="O325" s="5" t="str">
        <f aca="true">IF($D325="","",IF($I325="","",IF($K325="Completed","",$I325-TODAY())))</f>
        <v/>
      </c>
      <c r="P325" s="5" t="str">
        <f aca="true">IF($D325="","",IF($B325="","",IF($K325="Completed",IF($L325="","",$L325-$B325),TODAY()-$B325)))</f>
        <v/>
      </c>
      <c r="Q325" s="5" t="str">
        <f aca="false">IF($D325="","",IF($K325="Completed","",MAX($Q$1:$Q324)+1))</f>
        <v/>
      </c>
      <c r="R325" s="7"/>
    </row>
    <row r="326" customFormat="false" ht="15" hidden="false" customHeight="false" outlineLevel="0" collapsed="false">
      <c r="A326" s="5" t="str">
        <f aca="false">IF($D326="","",ROW()-1)</f>
        <v/>
      </c>
      <c r="B326" s="6"/>
      <c r="C326" s="7"/>
      <c r="D326" s="7"/>
      <c r="E326" s="7"/>
      <c r="F326" s="7"/>
      <c r="G326" s="8"/>
      <c r="H326" s="6"/>
      <c r="I326" s="9"/>
      <c r="J326" s="10"/>
      <c r="K326" s="8"/>
      <c r="L326" s="6"/>
      <c r="M326" s="11" t="str">
        <f aca="true">IF($D326="","",IF($K326="Completed",IF($L326="",$H326,$L326),IF($H326="","",IF($H326&lt;TODAY(),TODAY(),$H326))))</f>
        <v/>
      </c>
      <c r="N326" s="12" t="str">
        <f aca="true">IF($D326="","",IF($K326="Completed","Completed",IF($H326="","No Due Date",IF($H326&lt;TODAY(),"Carried Forward",IF($H326=TODAY(),"Due Today","Upcoming")))))</f>
        <v/>
      </c>
      <c r="O326" s="5" t="str">
        <f aca="true">IF($D326="","",IF($I326="","",IF($K326="Completed","",$I326-TODAY())))</f>
        <v/>
      </c>
      <c r="P326" s="5" t="str">
        <f aca="true">IF($D326="","",IF($B326="","",IF($K326="Completed",IF($L326="","",$L326-$B326),TODAY()-$B326)))</f>
        <v/>
      </c>
      <c r="Q326" s="5" t="str">
        <f aca="false">IF($D326="","",IF($K326="Completed","",MAX($Q$1:$Q325)+1))</f>
        <v/>
      </c>
      <c r="R326" s="7"/>
    </row>
    <row r="327" customFormat="false" ht="15" hidden="false" customHeight="false" outlineLevel="0" collapsed="false">
      <c r="A327" s="5" t="str">
        <f aca="false">IF($D327="","",ROW()-1)</f>
        <v/>
      </c>
      <c r="B327" s="6"/>
      <c r="C327" s="7"/>
      <c r="D327" s="7"/>
      <c r="E327" s="7"/>
      <c r="F327" s="7"/>
      <c r="G327" s="8"/>
      <c r="H327" s="6"/>
      <c r="I327" s="9"/>
      <c r="J327" s="10"/>
      <c r="K327" s="8"/>
      <c r="L327" s="6"/>
      <c r="M327" s="11" t="str">
        <f aca="true">IF($D327="","",IF($K327="Completed",IF($L327="",$H327,$L327),IF($H327="","",IF($H327&lt;TODAY(),TODAY(),$H327))))</f>
        <v/>
      </c>
      <c r="N327" s="12" t="str">
        <f aca="true">IF($D327="","",IF($K327="Completed","Completed",IF($H327="","No Due Date",IF($H327&lt;TODAY(),"Carried Forward",IF($H327=TODAY(),"Due Today","Upcoming")))))</f>
        <v/>
      </c>
      <c r="O327" s="5" t="str">
        <f aca="true">IF($D327="","",IF($I327="","",IF($K327="Completed","",$I327-TODAY())))</f>
        <v/>
      </c>
      <c r="P327" s="5" t="str">
        <f aca="true">IF($D327="","",IF($B327="","",IF($K327="Completed",IF($L327="","",$L327-$B327),TODAY()-$B327)))</f>
        <v/>
      </c>
      <c r="Q327" s="5" t="str">
        <f aca="false">IF($D327="","",IF($K327="Completed","",MAX($Q$1:$Q326)+1))</f>
        <v/>
      </c>
      <c r="R327" s="7"/>
    </row>
    <row r="328" customFormat="false" ht="15" hidden="false" customHeight="false" outlineLevel="0" collapsed="false">
      <c r="A328" s="5" t="str">
        <f aca="false">IF($D328="","",ROW()-1)</f>
        <v/>
      </c>
      <c r="B328" s="6"/>
      <c r="C328" s="7"/>
      <c r="D328" s="7"/>
      <c r="E328" s="7"/>
      <c r="F328" s="7"/>
      <c r="G328" s="8"/>
      <c r="H328" s="6"/>
      <c r="I328" s="9"/>
      <c r="J328" s="10"/>
      <c r="K328" s="8"/>
      <c r="L328" s="6"/>
      <c r="M328" s="11" t="str">
        <f aca="true">IF($D328="","",IF($K328="Completed",IF($L328="",$H328,$L328),IF($H328="","",IF($H328&lt;TODAY(),TODAY(),$H328))))</f>
        <v/>
      </c>
      <c r="N328" s="12" t="str">
        <f aca="true">IF($D328="","",IF($K328="Completed","Completed",IF($H328="","No Due Date",IF($H328&lt;TODAY(),"Carried Forward",IF($H328=TODAY(),"Due Today","Upcoming")))))</f>
        <v/>
      </c>
      <c r="O328" s="5" t="str">
        <f aca="true">IF($D328="","",IF($I328="","",IF($K328="Completed","",$I328-TODAY())))</f>
        <v/>
      </c>
      <c r="P328" s="5" t="str">
        <f aca="true">IF($D328="","",IF($B328="","",IF($K328="Completed",IF($L328="","",$L328-$B328),TODAY()-$B328)))</f>
        <v/>
      </c>
      <c r="Q328" s="5" t="str">
        <f aca="false">IF($D328="","",IF($K328="Completed","",MAX($Q$1:$Q327)+1))</f>
        <v/>
      </c>
      <c r="R328" s="7"/>
    </row>
    <row r="329" customFormat="false" ht="15" hidden="false" customHeight="false" outlineLevel="0" collapsed="false">
      <c r="A329" s="5" t="str">
        <f aca="false">IF($D329="","",ROW()-1)</f>
        <v/>
      </c>
      <c r="B329" s="6"/>
      <c r="C329" s="7"/>
      <c r="D329" s="7"/>
      <c r="E329" s="7"/>
      <c r="F329" s="7"/>
      <c r="G329" s="8"/>
      <c r="H329" s="6"/>
      <c r="I329" s="9"/>
      <c r="J329" s="10"/>
      <c r="K329" s="8"/>
      <c r="L329" s="6"/>
      <c r="M329" s="11" t="str">
        <f aca="true">IF($D329="","",IF($K329="Completed",IF($L329="",$H329,$L329),IF($H329="","",IF($H329&lt;TODAY(),TODAY(),$H329))))</f>
        <v/>
      </c>
      <c r="N329" s="12" t="str">
        <f aca="true">IF($D329="","",IF($K329="Completed","Completed",IF($H329="","No Due Date",IF($H329&lt;TODAY(),"Carried Forward",IF($H329=TODAY(),"Due Today","Upcoming")))))</f>
        <v/>
      </c>
      <c r="O329" s="5" t="str">
        <f aca="true">IF($D329="","",IF($I329="","",IF($K329="Completed","",$I329-TODAY())))</f>
        <v/>
      </c>
      <c r="P329" s="5" t="str">
        <f aca="true">IF($D329="","",IF($B329="","",IF($K329="Completed",IF($L329="","",$L329-$B329),TODAY()-$B329)))</f>
        <v/>
      </c>
      <c r="Q329" s="5" t="str">
        <f aca="false">IF($D329="","",IF($K329="Completed","",MAX($Q$1:$Q328)+1))</f>
        <v/>
      </c>
      <c r="R329" s="7"/>
    </row>
    <row r="330" customFormat="false" ht="15" hidden="false" customHeight="false" outlineLevel="0" collapsed="false">
      <c r="A330" s="5" t="str">
        <f aca="false">IF($D330="","",ROW()-1)</f>
        <v/>
      </c>
      <c r="B330" s="6"/>
      <c r="C330" s="7"/>
      <c r="D330" s="7"/>
      <c r="E330" s="7"/>
      <c r="F330" s="7"/>
      <c r="G330" s="8"/>
      <c r="H330" s="6"/>
      <c r="I330" s="9"/>
      <c r="J330" s="10"/>
      <c r="K330" s="8"/>
      <c r="L330" s="6"/>
      <c r="M330" s="11" t="str">
        <f aca="true">IF($D330="","",IF($K330="Completed",IF($L330="",$H330,$L330),IF($H330="","",IF($H330&lt;TODAY(),TODAY(),$H330))))</f>
        <v/>
      </c>
      <c r="N330" s="12" t="str">
        <f aca="true">IF($D330="","",IF($K330="Completed","Completed",IF($H330="","No Due Date",IF($H330&lt;TODAY(),"Carried Forward",IF($H330=TODAY(),"Due Today","Upcoming")))))</f>
        <v/>
      </c>
      <c r="O330" s="5" t="str">
        <f aca="true">IF($D330="","",IF($I330="","",IF($K330="Completed","",$I330-TODAY())))</f>
        <v/>
      </c>
      <c r="P330" s="5" t="str">
        <f aca="true">IF($D330="","",IF($B330="","",IF($K330="Completed",IF($L330="","",$L330-$B330),TODAY()-$B330)))</f>
        <v/>
      </c>
      <c r="Q330" s="5" t="str">
        <f aca="false">IF($D330="","",IF($K330="Completed","",MAX($Q$1:$Q329)+1))</f>
        <v/>
      </c>
      <c r="R330" s="7"/>
    </row>
    <row r="331" customFormat="false" ht="15" hidden="false" customHeight="false" outlineLevel="0" collapsed="false">
      <c r="A331" s="5" t="str">
        <f aca="false">IF($D331="","",ROW()-1)</f>
        <v/>
      </c>
      <c r="B331" s="6"/>
      <c r="C331" s="7"/>
      <c r="D331" s="7"/>
      <c r="E331" s="7"/>
      <c r="F331" s="7"/>
      <c r="G331" s="8"/>
      <c r="H331" s="6"/>
      <c r="I331" s="9"/>
      <c r="J331" s="10"/>
      <c r="K331" s="8"/>
      <c r="L331" s="6"/>
      <c r="M331" s="11" t="str">
        <f aca="true">IF($D331="","",IF($K331="Completed",IF($L331="",$H331,$L331),IF($H331="","",IF($H331&lt;TODAY(),TODAY(),$H331))))</f>
        <v/>
      </c>
      <c r="N331" s="12" t="str">
        <f aca="true">IF($D331="","",IF($K331="Completed","Completed",IF($H331="","No Due Date",IF($H331&lt;TODAY(),"Carried Forward",IF($H331=TODAY(),"Due Today","Upcoming")))))</f>
        <v/>
      </c>
      <c r="O331" s="5" t="str">
        <f aca="true">IF($D331="","",IF($I331="","",IF($K331="Completed","",$I331-TODAY())))</f>
        <v/>
      </c>
      <c r="P331" s="5" t="str">
        <f aca="true">IF($D331="","",IF($B331="","",IF($K331="Completed",IF($L331="","",$L331-$B331),TODAY()-$B331)))</f>
        <v/>
      </c>
      <c r="Q331" s="5" t="str">
        <f aca="false">IF($D331="","",IF($K331="Completed","",MAX($Q$1:$Q330)+1))</f>
        <v/>
      </c>
      <c r="R331" s="7"/>
    </row>
    <row r="332" customFormat="false" ht="15" hidden="false" customHeight="false" outlineLevel="0" collapsed="false">
      <c r="A332" s="5" t="str">
        <f aca="false">IF($D332="","",ROW()-1)</f>
        <v/>
      </c>
      <c r="B332" s="6"/>
      <c r="C332" s="7"/>
      <c r="D332" s="7"/>
      <c r="E332" s="7"/>
      <c r="F332" s="7"/>
      <c r="G332" s="8"/>
      <c r="H332" s="6"/>
      <c r="I332" s="9"/>
      <c r="J332" s="10"/>
      <c r="K332" s="8"/>
      <c r="L332" s="6"/>
      <c r="M332" s="11" t="str">
        <f aca="true">IF($D332="","",IF($K332="Completed",IF($L332="",$H332,$L332),IF($H332="","",IF($H332&lt;TODAY(),TODAY(),$H332))))</f>
        <v/>
      </c>
      <c r="N332" s="12" t="str">
        <f aca="true">IF($D332="","",IF($K332="Completed","Completed",IF($H332="","No Due Date",IF($H332&lt;TODAY(),"Carried Forward",IF($H332=TODAY(),"Due Today","Upcoming")))))</f>
        <v/>
      </c>
      <c r="O332" s="5" t="str">
        <f aca="true">IF($D332="","",IF($I332="","",IF($K332="Completed","",$I332-TODAY())))</f>
        <v/>
      </c>
      <c r="P332" s="5" t="str">
        <f aca="true">IF($D332="","",IF($B332="","",IF($K332="Completed",IF($L332="","",$L332-$B332),TODAY()-$B332)))</f>
        <v/>
      </c>
      <c r="Q332" s="5" t="str">
        <f aca="false">IF($D332="","",IF($K332="Completed","",MAX($Q$1:$Q331)+1))</f>
        <v/>
      </c>
      <c r="R332" s="7"/>
    </row>
    <row r="333" customFormat="false" ht="15" hidden="false" customHeight="false" outlineLevel="0" collapsed="false">
      <c r="A333" s="5" t="str">
        <f aca="false">IF($D333="","",ROW()-1)</f>
        <v/>
      </c>
      <c r="B333" s="6"/>
      <c r="C333" s="7"/>
      <c r="D333" s="7"/>
      <c r="E333" s="7"/>
      <c r="F333" s="7"/>
      <c r="G333" s="8"/>
      <c r="H333" s="6"/>
      <c r="I333" s="9"/>
      <c r="J333" s="10"/>
      <c r="K333" s="8"/>
      <c r="L333" s="6"/>
      <c r="M333" s="11" t="str">
        <f aca="true">IF($D333="","",IF($K333="Completed",IF($L333="",$H333,$L333),IF($H333="","",IF($H333&lt;TODAY(),TODAY(),$H333))))</f>
        <v/>
      </c>
      <c r="N333" s="12" t="str">
        <f aca="true">IF($D333="","",IF($K333="Completed","Completed",IF($H333="","No Due Date",IF($H333&lt;TODAY(),"Carried Forward",IF($H333=TODAY(),"Due Today","Upcoming")))))</f>
        <v/>
      </c>
      <c r="O333" s="5" t="str">
        <f aca="true">IF($D333="","",IF($I333="","",IF($K333="Completed","",$I333-TODAY())))</f>
        <v/>
      </c>
      <c r="P333" s="5" t="str">
        <f aca="true">IF($D333="","",IF($B333="","",IF($K333="Completed",IF($L333="","",$L333-$B333),TODAY()-$B333)))</f>
        <v/>
      </c>
      <c r="Q333" s="5" t="str">
        <f aca="false">IF($D333="","",IF($K333="Completed","",MAX($Q$1:$Q332)+1))</f>
        <v/>
      </c>
      <c r="R333" s="7"/>
    </row>
    <row r="334" customFormat="false" ht="15" hidden="false" customHeight="false" outlineLevel="0" collapsed="false">
      <c r="A334" s="5" t="str">
        <f aca="false">IF($D334="","",ROW()-1)</f>
        <v/>
      </c>
      <c r="B334" s="6"/>
      <c r="C334" s="7"/>
      <c r="D334" s="7"/>
      <c r="E334" s="7"/>
      <c r="F334" s="7"/>
      <c r="G334" s="8"/>
      <c r="H334" s="6"/>
      <c r="I334" s="9"/>
      <c r="J334" s="10"/>
      <c r="K334" s="8"/>
      <c r="L334" s="6"/>
      <c r="M334" s="11" t="str">
        <f aca="true">IF($D334="","",IF($K334="Completed",IF($L334="",$H334,$L334),IF($H334="","",IF($H334&lt;TODAY(),TODAY(),$H334))))</f>
        <v/>
      </c>
      <c r="N334" s="12" t="str">
        <f aca="true">IF($D334="","",IF($K334="Completed","Completed",IF($H334="","No Due Date",IF($H334&lt;TODAY(),"Carried Forward",IF($H334=TODAY(),"Due Today","Upcoming")))))</f>
        <v/>
      </c>
      <c r="O334" s="5" t="str">
        <f aca="true">IF($D334="","",IF($I334="","",IF($K334="Completed","",$I334-TODAY())))</f>
        <v/>
      </c>
      <c r="P334" s="5" t="str">
        <f aca="true">IF($D334="","",IF($B334="","",IF($K334="Completed",IF($L334="","",$L334-$B334),TODAY()-$B334)))</f>
        <v/>
      </c>
      <c r="Q334" s="5" t="str">
        <f aca="false">IF($D334="","",IF($K334="Completed","",MAX($Q$1:$Q333)+1))</f>
        <v/>
      </c>
      <c r="R334" s="7"/>
    </row>
    <row r="335" customFormat="false" ht="15" hidden="false" customHeight="false" outlineLevel="0" collapsed="false">
      <c r="A335" s="5" t="str">
        <f aca="false">IF($D335="","",ROW()-1)</f>
        <v/>
      </c>
      <c r="B335" s="6"/>
      <c r="C335" s="7"/>
      <c r="D335" s="7"/>
      <c r="E335" s="7"/>
      <c r="F335" s="7"/>
      <c r="G335" s="8"/>
      <c r="H335" s="6"/>
      <c r="I335" s="9"/>
      <c r="J335" s="10"/>
      <c r="K335" s="8"/>
      <c r="L335" s="6"/>
      <c r="M335" s="11" t="str">
        <f aca="true">IF($D335="","",IF($K335="Completed",IF($L335="",$H335,$L335),IF($H335="","",IF($H335&lt;TODAY(),TODAY(),$H335))))</f>
        <v/>
      </c>
      <c r="N335" s="12" t="str">
        <f aca="true">IF($D335="","",IF($K335="Completed","Completed",IF($H335="","No Due Date",IF($H335&lt;TODAY(),"Carried Forward",IF($H335=TODAY(),"Due Today","Upcoming")))))</f>
        <v/>
      </c>
      <c r="O335" s="5" t="str">
        <f aca="true">IF($D335="","",IF($I335="","",IF($K335="Completed","",$I335-TODAY())))</f>
        <v/>
      </c>
      <c r="P335" s="5" t="str">
        <f aca="true">IF($D335="","",IF($B335="","",IF($K335="Completed",IF($L335="","",$L335-$B335),TODAY()-$B335)))</f>
        <v/>
      </c>
      <c r="Q335" s="5" t="str">
        <f aca="false">IF($D335="","",IF($K335="Completed","",MAX($Q$1:$Q334)+1))</f>
        <v/>
      </c>
      <c r="R335" s="7"/>
    </row>
    <row r="336" customFormat="false" ht="15" hidden="false" customHeight="false" outlineLevel="0" collapsed="false">
      <c r="A336" s="5" t="str">
        <f aca="false">IF($D336="","",ROW()-1)</f>
        <v/>
      </c>
      <c r="B336" s="6"/>
      <c r="C336" s="7"/>
      <c r="D336" s="7"/>
      <c r="E336" s="7"/>
      <c r="F336" s="7"/>
      <c r="G336" s="8"/>
      <c r="H336" s="6"/>
      <c r="I336" s="9"/>
      <c r="J336" s="10"/>
      <c r="K336" s="8"/>
      <c r="L336" s="6"/>
      <c r="M336" s="11" t="str">
        <f aca="true">IF($D336="","",IF($K336="Completed",IF($L336="",$H336,$L336),IF($H336="","",IF($H336&lt;TODAY(),TODAY(),$H336))))</f>
        <v/>
      </c>
      <c r="N336" s="12" t="str">
        <f aca="true">IF($D336="","",IF($K336="Completed","Completed",IF($H336="","No Due Date",IF($H336&lt;TODAY(),"Carried Forward",IF($H336=TODAY(),"Due Today","Upcoming")))))</f>
        <v/>
      </c>
      <c r="O336" s="5" t="str">
        <f aca="true">IF($D336="","",IF($I336="","",IF($K336="Completed","",$I336-TODAY())))</f>
        <v/>
      </c>
      <c r="P336" s="5" t="str">
        <f aca="true">IF($D336="","",IF($B336="","",IF($K336="Completed",IF($L336="","",$L336-$B336),TODAY()-$B336)))</f>
        <v/>
      </c>
      <c r="Q336" s="5" t="str">
        <f aca="false">IF($D336="","",IF($K336="Completed","",MAX($Q$1:$Q335)+1))</f>
        <v/>
      </c>
      <c r="R336" s="7"/>
    </row>
    <row r="337" customFormat="false" ht="15" hidden="false" customHeight="false" outlineLevel="0" collapsed="false">
      <c r="A337" s="5" t="str">
        <f aca="false">IF($D337="","",ROW()-1)</f>
        <v/>
      </c>
      <c r="B337" s="6"/>
      <c r="C337" s="7"/>
      <c r="D337" s="7"/>
      <c r="E337" s="7"/>
      <c r="F337" s="7"/>
      <c r="G337" s="8"/>
      <c r="H337" s="6"/>
      <c r="I337" s="9"/>
      <c r="J337" s="10"/>
      <c r="K337" s="8"/>
      <c r="L337" s="6"/>
      <c r="M337" s="11" t="str">
        <f aca="true">IF($D337="","",IF($K337="Completed",IF($L337="",$H337,$L337),IF($H337="","",IF($H337&lt;TODAY(),TODAY(),$H337))))</f>
        <v/>
      </c>
      <c r="N337" s="12" t="str">
        <f aca="true">IF($D337="","",IF($K337="Completed","Completed",IF($H337="","No Due Date",IF($H337&lt;TODAY(),"Carried Forward",IF($H337=TODAY(),"Due Today","Upcoming")))))</f>
        <v/>
      </c>
      <c r="O337" s="5" t="str">
        <f aca="true">IF($D337="","",IF($I337="","",IF($K337="Completed","",$I337-TODAY())))</f>
        <v/>
      </c>
      <c r="P337" s="5" t="str">
        <f aca="true">IF($D337="","",IF($B337="","",IF($K337="Completed",IF($L337="","",$L337-$B337),TODAY()-$B337)))</f>
        <v/>
      </c>
      <c r="Q337" s="5" t="str">
        <f aca="false">IF($D337="","",IF($K337="Completed","",MAX($Q$1:$Q336)+1))</f>
        <v/>
      </c>
      <c r="R337" s="7"/>
    </row>
    <row r="338" customFormat="false" ht="15" hidden="false" customHeight="false" outlineLevel="0" collapsed="false">
      <c r="A338" s="5" t="str">
        <f aca="false">IF($D338="","",ROW()-1)</f>
        <v/>
      </c>
      <c r="B338" s="6"/>
      <c r="C338" s="7"/>
      <c r="D338" s="7"/>
      <c r="E338" s="7"/>
      <c r="F338" s="7"/>
      <c r="G338" s="8"/>
      <c r="H338" s="6"/>
      <c r="I338" s="9"/>
      <c r="J338" s="10"/>
      <c r="K338" s="8"/>
      <c r="L338" s="6"/>
      <c r="M338" s="11" t="str">
        <f aca="true">IF($D338="","",IF($K338="Completed",IF($L338="",$H338,$L338),IF($H338="","",IF($H338&lt;TODAY(),TODAY(),$H338))))</f>
        <v/>
      </c>
      <c r="N338" s="12" t="str">
        <f aca="true">IF($D338="","",IF($K338="Completed","Completed",IF($H338="","No Due Date",IF($H338&lt;TODAY(),"Carried Forward",IF($H338=TODAY(),"Due Today","Upcoming")))))</f>
        <v/>
      </c>
      <c r="O338" s="5" t="str">
        <f aca="true">IF($D338="","",IF($I338="","",IF($K338="Completed","",$I338-TODAY())))</f>
        <v/>
      </c>
      <c r="P338" s="5" t="str">
        <f aca="true">IF($D338="","",IF($B338="","",IF($K338="Completed",IF($L338="","",$L338-$B338),TODAY()-$B338)))</f>
        <v/>
      </c>
      <c r="Q338" s="5" t="str">
        <f aca="false">IF($D338="","",IF($K338="Completed","",MAX($Q$1:$Q337)+1))</f>
        <v/>
      </c>
      <c r="R338" s="7"/>
    </row>
    <row r="339" customFormat="false" ht="15" hidden="false" customHeight="false" outlineLevel="0" collapsed="false">
      <c r="A339" s="5" t="str">
        <f aca="false">IF($D339="","",ROW()-1)</f>
        <v/>
      </c>
      <c r="B339" s="6"/>
      <c r="C339" s="7"/>
      <c r="D339" s="7"/>
      <c r="E339" s="7"/>
      <c r="F339" s="7"/>
      <c r="G339" s="8"/>
      <c r="H339" s="6"/>
      <c r="I339" s="9"/>
      <c r="J339" s="10"/>
      <c r="K339" s="8"/>
      <c r="L339" s="6"/>
      <c r="M339" s="11" t="str">
        <f aca="true">IF($D339="","",IF($K339="Completed",IF($L339="",$H339,$L339),IF($H339="","",IF($H339&lt;TODAY(),TODAY(),$H339))))</f>
        <v/>
      </c>
      <c r="N339" s="12" t="str">
        <f aca="true">IF($D339="","",IF($K339="Completed","Completed",IF($H339="","No Due Date",IF($H339&lt;TODAY(),"Carried Forward",IF($H339=TODAY(),"Due Today","Upcoming")))))</f>
        <v/>
      </c>
      <c r="O339" s="5" t="str">
        <f aca="true">IF($D339="","",IF($I339="","",IF($K339="Completed","",$I339-TODAY())))</f>
        <v/>
      </c>
      <c r="P339" s="5" t="str">
        <f aca="true">IF($D339="","",IF($B339="","",IF($K339="Completed",IF($L339="","",$L339-$B339),TODAY()-$B339)))</f>
        <v/>
      </c>
      <c r="Q339" s="5" t="str">
        <f aca="false">IF($D339="","",IF($K339="Completed","",MAX($Q$1:$Q338)+1))</f>
        <v/>
      </c>
      <c r="R339" s="7"/>
    </row>
    <row r="340" customFormat="false" ht="15" hidden="false" customHeight="false" outlineLevel="0" collapsed="false">
      <c r="A340" s="5" t="str">
        <f aca="false">IF($D340="","",ROW()-1)</f>
        <v/>
      </c>
      <c r="B340" s="6"/>
      <c r="C340" s="7"/>
      <c r="D340" s="7"/>
      <c r="E340" s="7"/>
      <c r="F340" s="7"/>
      <c r="G340" s="8"/>
      <c r="H340" s="6"/>
      <c r="I340" s="9"/>
      <c r="J340" s="10"/>
      <c r="K340" s="8"/>
      <c r="L340" s="6"/>
      <c r="M340" s="11" t="str">
        <f aca="true">IF($D340="","",IF($K340="Completed",IF($L340="",$H340,$L340),IF($H340="","",IF($H340&lt;TODAY(),TODAY(),$H340))))</f>
        <v/>
      </c>
      <c r="N340" s="12" t="str">
        <f aca="true">IF($D340="","",IF($K340="Completed","Completed",IF($H340="","No Due Date",IF($H340&lt;TODAY(),"Carried Forward",IF($H340=TODAY(),"Due Today","Upcoming")))))</f>
        <v/>
      </c>
      <c r="O340" s="5" t="str">
        <f aca="true">IF($D340="","",IF($I340="","",IF($K340="Completed","",$I340-TODAY())))</f>
        <v/>
      </c>
      <c r="P340" s="5" t="str">
        <f aca="true">IF($D340="","",IF($B340="","",IF($K340="Completed",IF($L340="","",$L340-$B340),TODAY()-$B340)))</f>
        <v/>
      </c>
      <c r="Q340" s="5" t="str">
        <f aca="false">IF($D340="","",IF($K340="Completed","",MAX($Q$1:$Q339)+1))</f>
        <v/>
      </c>
      <c r="R340" s="7"/>
    </row>
    <row r="341" customFormat="false" ht="15" hidden="false" customHeight="false" outlineLevel="0" collapsed="false">
      <c r="A341" s="5" t="str">
        <f aca="false">IF($D341="","",ROW()-1)</f>
        <v/>
      </c>
      <c r="B341" s="6"/>
      <c r="C341" s="7"/>
      <c r="D341" s="7"/>
      <c r="E341" s="7"/>
      <c r="F341" s="7"/>
      <c r="G341" s="8"/>
      <c r="H341" s="6"/>
      <c r="I341" s="9"/>
      <c r="J341" s="10"/>
      <c r="K341" s="8"/>
      <c r="L341" s="6"/>
      <c r="M341" s="11" t="str">
        <f aca="true">IF($D341="","",IF($K341="Completed",IF($L341="",$H341,$L341),IF($H341="","",IF($H341&lt;TODAY(),TODAY(),$H341))))</f>
        <v/>
      </c>
      <c r="N341" s="12" t="str">
        <f aca="true">IF($D341="","",IF($K341="Completed","Completed",IF($H341="","No Due Date",IF($H341&lt;TODAY(),"Carried Forward",IF($H341=TODAY(),"Due Today","Upcoming")))))</f>
        <v/>
      </c>
      <c r="O341" s="5" t="str">
        <f aca="true">IF($D341="","",IF($I341="","",IF($K341="Completed","",$I341-TODAY())))</f>
        <v/>
      </c>
      <c r="P341" s="5" t="str">
        <f aca="true">IF($D341="","",IF($B341="","",IF($K341="Completed",IF($L341="","",$L341-$B341),TODAY()-$B341)))</f>
        <v/>
      </c>
      <c r="Q341" s="5" t="str">
        <f aca="false">IF($D341="","",IF($K341="Completed","",MAX($Q$1:$Q340)+1))</f>
        <v/>
      </c>
      <c r="R341" s="7"/>
    </row>
    <row r="342" customFormat="false" ht="15" hidden="false" customHeight="false" outlineLevel="0" collapsed="false">
      <c r="A342" s="5" t="str">
        <f aca="false">IF($D342="","",ROW()-1)</f>
        <v/>
      </c>
      <c r="B342" s="6"/>
      <c r="C342" s="7"/>
      <c r="D342" s="7"/>
      <c r="E342" s="7"/>
      <c r="F342" s="7"/>
      <c r="G342" s="8"/>
      <c r="H342" s="6"/>
      <c r="I342" s="9"/>
      <c r="J342" s="10"/>
      <c r="K342" s="8"/>
      <c r="L342" s="6"/>
      <c r="M342" s="11" t="str">
        <f aca="true">IF($D342="","",IF($K342="Completed",IF($L342="",$H342,$L342),IF($H342="","",IF($H342&lt;TODAY(),TODAY(),$H342))))</f>
        <v/>
      </c>
      <c r="N342" s="12" t="str">
        <f aca="true">IF($D342="","",IF($K342="Completed","Completed",IF($H342="","No Due Date",IF($H342&lt;TODAY(),"Carried Forward",IF($H342=TODAY(),"Due Today","Upcoming")))))</f>
        <v/>
      </c>
      <c r="O342" s="5" t="str">
        <f aca="true">IF($D342="","",IF($I342="","",IF($K342="Completed","",$I342-TODAY())))</f>
        <v/>
      </c>
      <c r="P342" s="5" t="str">
        <f aca="true">IF($D342="","",IF($B342="","",IF($K342="Completed",IF($L342="","",$L342-$B342),TODAY()-$B342)))</f>
        <v/>
      </c>
      <c r="Q342" s="5" t="str">
        <f aca="false">IF($D342="","",IF($K342="Completed","",MAX($Q$1:$Q341)+1))</f>
        <v/>
      </c>
      <c r="R342" s="7"/>
    </row>
    <row r="343" customFormat="false" ht="15" hidden="false" customHeight="false" outlineLevel="0" collapsed="false">
      <c r="A343" s="5" t="str">
        <f aca="false">IF($D343="","",ROW()-1)</f>
        <v/>
      </c>
      <c r="B343" s="6"/>
      <c r="C343" s="7"/>
      <c r="D343" s="7"/>
      <c r="E343" s="7"/>
      <c r="F343" s="7"/>
      <c r="G343" s="8"/>
      <c r="H343" s="6"/>
      <c r="I343" s="9"/>
      <c r="J343" s="10"/>
      <c r="K343" s="8"/>
      <c r="L343" s="6"/>
      <c r="M343" s="11" t="str">
        <f aca="true">IF($D343="","",IF($K343="Completed",IF($L343="",$H343,$L343),IF($H343="","",IF($H343&lt;TODAY(),TODAY(),$H343))))</f>
        <v/>
      </c>
      <c r="N343" s="12" t="str">
        <f aca="true">IF($D343="","",IF($K343="Completed","Completed",IF($H343="","No Due Date",IF($H343&lt;TODAY(),"Carried Forward",IF($H343=TODAY(),"Due Today","Upcoming")))))</f>
        <v/>
      </c>
      <c r="O343" s="5" t="str">
        <f aca="true">IF($D343="","",IF($I343="","",IF($K343="Completed","",$I343-TODAY())))</f>
        <v/>
      </c>
      <c r="P343" s="5" t="str">
        <f aca="true">IF($D343="","",IF($B343="","",IF($K343="Completed",IF($L343="","",$L343-$B343),TODAY()-$B343)))</f>
        <v/>
      </c>
      <c r="Q343" s="5" t="str">
        <f aca="false">IF($D343="","",IF($K343="Completed","",MAX($Q$1:$Q342)+1))</f>
        <v/>
      </c>
      <c r="R343" s="7"/>
    </row>
    <row r="344" customFormat="false" ht="15" hidden="false" customHeight="false" outlineLevel="0" collapsed="false">
      <c r="A344" s="5" t="str">
        <f aca="false">IF($D344="","",ROW()-1)</f>
        <v/>
      </c>
      <c r="B344" s="6"/>
      <c r="C344" s="7"/>
      <c r="D344" s="7"/>
      <c r="E344" s="7"/>
      <c r="F344" s="7"/>
      <c r="G344" s="8"/>
      <c r="H344" s="6"/>
      <c r="I344" s="9"/>
      <c r="J344" s="10"/>
      <c r="K344" s="8"/>
      <c r="L344" s="6"/>
      <c r="M344" s="11" t="str">
        <f aca="true">IF($D344="","",IF($K344="Completed",IF($L344="",$H344,$L344),IF($H344="","",IF($H344&lt;TODAY(),TODAY(),$H344))))</f>
        <v/>
      </c>
      <c r="N344" s="12" t="str">
        <f aca="true">IF($D344="","",IF($K344="Completed","Completed",IF($H344="","No Due Date",IF($H344&lt;TODAY(),"Carried Forward",IF($H344=TODAY(),"Due Today","Upcoming")))))</f>
        <v/>
      </c>
      <c r="O344" s="5" t="str">
        <f aca="true">IF($D344="","",IF($I344="","",IF($K344="Completed","",$I344-TODAY())))</f>
        <v/>
      </c>
      <c r="P344" s="5" t="str">
        <f aca="true">IF($D344="","",IF($B344="","",IF($K344="Completed",IF($L344="","",$L344-$B344),TODAY()-$B344)))</f>
        <v/>
      </c>
      <c r="Q344" s="5" t="str">
        <f aca="false">IF($D344="","",IF($K344="Completed","",MAX($Q$1:$Q343)+1))</f>
        <v/>
      </c>
      <c r="R344" s="7"/>
    </row>
    <row r="345" customFormat="false" ht="15" hidden="false" customHeight="false" outlineLevel="0" collapsed="false">
      <c r="A345" s="5" t="str">
        <f aca="false">IF($D345="","",ROW()-1)</f>
        <v/>
      </c>
      <c r="B345" s="6"/>
      <c r="C345" s="7"/>
      <c r="D345" s="7"/>
      <c r="E345" s="7"/>
      <c r="F345" s="7"/>
      <c r="G345" s="8"/>
      <c r="H345" s="6"/>
      <c r="I345" s="9"/>
      <c r="J345" s="10"/>
      <c r="K345" s="8"/>
      <c r="L345" s="6"/>
      <c r="M345" s="11" t="str">
        <f aca="true">IF($D345="","",IF($K345="Completed",IF($L345="",$H345,$L345),IF($H345="","",IF($H345&lt;TODAY(),TODAY(),$H345))))</f>
        <v/>
      </c>
      <c r="N345" s="12" t="str">
        <f aca="true">IF($D345="","",IF($K345="Completed","Completed",IF($H345="","No Due Date",IF($H345&lt;TODAY(),"Carried Forward",IF($H345=TODAY(),"Due Today","Upcoming")))))</f>
        <v/>
      </c>
      <c r="O345" s="5" t="str">
        <f aca="true">IF($D345="","",IF($I345="","",IF($K345="Completed","",$I345-TODAY())))</f>
        <v/>
      </c>
      <c r="P345" s="5" t="str">
        <f aca="true">IF($D345="","",IF($B345="","",IF($K345="Completed",IF($L345="","",$L345-$B345),TODAY()-$B345)))</f>
        <v/>
      </c>
      <c r="Q345" s="5" t="str">
        <f aca="false">IF($D345="","",IF($K345="Completed","",MAX($Q$1:$Q344)+1))</f>
        <v/>
      </c>
      <c r="R345" s="7"/>
    </row>
    <row r="346" customFormat="false" ht="15" hidden="false" customHeight="false" outlineLevel="0" collapsed="false">
      <c r="A346" s="5" t="str">
        <f aca="false">IF($D346="","",ROW()-1)</f>
        <v/>
      </c>
      <c r="B346" s="6"/>
      <c r="C346" s="7"/>
      <c r="D346" s="7"/>
      <c r="E346" s="7"/>
      <c r="F346" s="7"/>
      <c r="G346" s="8"/>
      <c r="H346" s="6"/>
      <c r="I346" s="9"/>
      <c r="J346" s="10"/>
      <c r="K346" s="8"/>
      <c r="L346" s="6"/>
      <c r="M346" s="11" t="str">
        <f aca="true">IF($D346="","",IF($K346="Completed",IF($L346="",$H346,$L346),IF($H346="","",IF($H346&lt;TODAY(),TODAY(),$H346))))</f>
        <v/>
      </c>
      <c r="N346" s="12" t="str">
        <f aca="true">IF($D346="","",IF($K346="Completed","Completed",IF($H346="","No Due Date",IF($H346&lt;TODAY(),"Carried Forward",IF($H346=TODAY(),"Due Today","Upcoming")))))</f>
        <v/>
      </c>
      <c r="O346" s="5" t="str">
        <f aca="true">IF($D346="","",IF($I346="","",IF($K346="Completed","",$I346-TODAY())))</f>
        <v/>
      </c>
      <c r="P346" s="5" t="str">
        <f aca="true">IF($D346="","",IF($B346="","",IF($K346="Completed",IF($L346="","",$L346-$B346),TODAY()-$B346)))</f>
        <v/>
      </c>
      <c r="Q346" s="5" t="str">
        <f aca="false">IF($D346="","",IF($K346="Completed","",MAX($Q$1:$Q345)+1))</f>
        <v/>
      </c>
      <c r="R346" s="7"/>
    </row>
    <row r="347" customFormat="false" ht="15" hidden="false" customHeight="false" outlineLevel="0" collapsed="false">
      <c r="A347" s="5" t="str">
        <f aca="false">IF($D347="","",ROW()-1)</f>
        <v/>
      </c>
      <c r="B347" s="6"/>
      <c r="C347" s="7"/>
      <c r="D347" s="7"/>
      <c r="E347" s="7"/>
      <c r="F347" s="7"/>
      <c r="G347" s="8"/>
      <c r="H347" s="6"/>
      <c r="I347" s="9"/>
      <c r="J347" s="10"/>
      <c r="K347" s="8"/>
      <c r="L347" s="6"/>
      <c r="M347" s="11" t="str">
        <f aca="true">IF($D347="","",IF($K347="Completed",IF($L347="",$H347,$L347),IF($H347="","",IF($H347&lt;TODAY(),TODAY(),$H347))))</f>
        <v/>
      </c>
      <c r="N347" s="12" t="str">
        <f aca="true">IF($D347="","",IF($K347="Completed","Completed",IF($H347="","No Due Date",IF($H347&lt;TODAY(),"Carried Forward",IF($H347=TODAY(),"Due Today","Upcoming")))))</f>
        <v/>
      </c>
      <c r="O347" s="5" t="str">
        <f aca="true">IF($D347="","",IF($I347="","",IF($K347="Completed","",$I347-TODAY())))</f>
        <v/>
      </c>
      <c r="P347" s="5" t="str">
        <f aca="true">IF($D347="","",IF($B347="","",IF($K347="Completed",IF($L347="","",$L347-$B347),TODAY()-$B347)))</f>
        <v/>
      </c>
      <c r="Q347" s="5" t="str">
        <f aca="false">IF($D347="","",IF($K347="Completed","",MAX($Q$1:$Q346)+1))</f>
        <v/>
      </c>
      <c r="R347" s="7"/>
    </row>
    <row r="348" customFormat="false" ht="15" hidden="false" customHeight="false" outlineLevel="0" collapsed="false">
      <c r="A348" s="5" t="str">
        <f aca="false">IF($D348="","",ROW()-1)</f>
        <v/>
      </c>
      <c r="B348" s="6"/>
      <c r="C348" s="7"/>
      <c r="D348" s="7"/>
      <c r="E348" s="7"/>
      <c r="F348" s="7"/>
      <c r="G348" s="8"/>
      <c r="H348" s="6"/>
      <c r="I348" s="9"/>
      <c r="J348" s="10"/>
      <c r="K348" s="8"/>
      <c r="L348" s="6"/>
      <c r="M348" s="11" t="str">
        <f aca="true">IF($D348="","",IF($K348="Completed",IF($L348="",$H348,$L348),IF($H348="","",IF($H348&lt;TODAY(),TODAY(),$H348))))</f>
        <v/>
      </c>
      <c r="N348" s="12" t="str">
        <f aca="true">IF($D348="","",IF($K348="Completed","Completed",IF($H348="","No Due Date",IF($H348&lt;TODAY(),"Carried Forward",IF($H348=TODAY(),"Due Today","Upcoming")))))</f>
        <v/>
      </c>
      <c r="O348" s="5" t="str">
        <f aca="true">IF($D348="","",IF($I348="","",IF($K348="Completed","",$I348-TODAY())))</f>
        <v/>
      </c>
      <c r="P348" s="5" t="str">
        <f aca="true">IF($D348="","",IF($B348="","",IF($K348="Completed",IF($L348="","",$L348-$B348),TODAY()-$B348)))</f>
        <v/>
      </c>
      <c r="Q348" s="5" t="str">
        <f aca="false">IF($D348="","",IF($K348="Completed","",MAX($Q$1:$Q347)+1))</f>
        <v/>
      </c>
      <c r="R348" s="7"/>
    </row>
    <row r="349" customFormat="false" ht="15" hidden="false" customHeight="false" outlineLevel="0" collapsed="false">
      <c r="A349" s="5" t="str">
        <f aca="false">IF($D349="","",ROW()-1)</f>
        <v/>
      </c>
      <c r="B349" s="6"/>
      <c r="C349" s="7"/>
      <c r="D349" s="7"/>
      <c r="E349" s="7"/>
      <c r="F349" s="7"/>
      <c r="G349" s="8"/>
      <c r="H349" s="6"/>
      <c r="I349" s="9"/>
      <c r="J349" s="10"/>
      <c r="K349" s="8"/>
      <c r="L349" s="6"/>
      <c r="M349" s="11" t="str">
        <f aca="true">IF($D349="","",IF($K349="Completed",IF($L349="",$H349,$L349),IF($H349="","",IF($H349&lt;TODAY(),TODAY(),$H349))))</f>
        <v/>
      </c>
      <c r="N349" s="12" t="str">
        <f aca="true">IF($D349="","",IF($K349="Completed","Completed",IF($H349="","No Due Date",IF($H349&lt;TODAY(),"Carried Forward",IF($H349=TODAY(),"Due Today","Upcoming")))))</f>
        <v/>
      </c>
      <c r="O349" s="5" t="str">
        <f aca="true">IF($D349="","",IF($I349="","",IF($K349="Completed","",$I349-TODAY())))</f>
        <v/>
      </c>
      <c r="P349" s="5" t="str">
        <f aca="true">IF($D349="","",IF($B349="","",IF($K349="Completed",IF($L349="","",$L349-$B349),TODAY()-$B349)))</f>
        <v/>
      </c>
      <c r="Q349" s="5" t="str">
        <f aca="false">IF($D349="","",IF($K349="Completed","",MAX($Q$1:$Q348)+1))</f>
        <v/>
      </c>
      <c r="R349" s="7"/>
    </row>
    <row r="350" customFormat="false" ht="15" hidden="false" customHeight="false" outlineLevel="0" collapsed="false">
      <c r="A350" s="5" t="str">
        <f aca="false">IF($D350="","",ROW()-1)</f>
        <v/>
      </c>
      <c r="B350" s="6"/>
      <c r="C350" s="7"/>
      <c r="D350" s="7"/>
      <c r="E350" s="7"/>
      <c r="F350" s="7"/>
      <c r="G350" s="8"/>
      <c r="H350" s="6"/>
      <c r="I350" s="9"/>
      <c r="J350" s="10"/>
      <c r="K350" s="8"/>
      <c r="L350" s="6"/>
      <c r="M350" s="11" t="str">
        <f aca="true">IF($D350="","",IF($K350="Completed",IF($L350="",$H350,$L350),IF($H350="","",IF($H350&lt;TODAY(),TODAY(),$H350))))</f>
        <v/>
      </c>
      <c r="N350" s="12" t="str">
        <f aca="true">IF($D350="","",IF($K350="Completed","Completed",IF($H350="","No Due Date",IF($H350&lt;TODAY(),"Carried Forward",IF($H350=TODAY(),"Due Today","Upcoming")))))</f>
        <v/>
      </c>
      <c r="O350" s="5" t="str">
        <f aca="true">IF($D350="","",IF($I350="","",IF($K350="Completed","",$I350-TODAY())))</f>
        <v/>
      </c>
      <c r="P350" s="5" t="str">
        <f aca="true">IF($D350="","",IF($B350="","",IF($K350="Completed",IF($L350="","",$L350-$B350),TODAY()-$B350)))</f>
        <v/>
      </c>
      <c r="Q350" s="5" t="str">
        <f aca="false">IF($D350="","",IF($K350="Completed","",MAX($Q$1:$Q349)+1))</f>
        <v/>
      </c>
      <c r="R350" s="7"/>
    </row>
    <row r="351" customFormat="false" ht="15" hidden="false" customHeight="false" outlineLevel="0" collapsed="false">
      <c r="A351" s="5" t="str">
        <f aca="false">IF($D351="","",ROW()-1)</f>
        <v/>
      </c>
      <c r="B351" s="6"/>
      <c r="C351" s="7"/>
      <c r="D351" s="7"/>
      <c r="E351" s="7"/>
      <c r="F351" s="7"/>
      <c r="G351" s="8"/>
      <c r="H351" s="6"/>
      <c r="I351" s="9"/>
      <c r="J351" s="10"/>
      <c r="K351" s="8"/>
      <c r="L351" s="6"/>
      <c r="M351" s="11" t="str">
        <f aca="true">IF($D351="","",IF($K351="Completed",IF($L351="",$H351,$L351),IF($H351="","",IF($H351&lt;TODAY(),TODAY(),$H351))))</f>
        <v/>
      </c>
      <c r="N351" s="12" t="str">
        <f aca="true">IF($D351="","",IF($K351="Completed","Completed",IF($H351="","No Due Date",IF($H351&lt;TODAY(),"Carried Forward",IF($H351=TODAY(),"Due Today","Upcoming")))))</f>
        <v/>
      </c>
      <c r="O351" s="5" t="str">
        <f aca="true">IF($D351="","",IF($I351="","",IF($K351="Completed","",$I351-TODAY())))</f>
        <v/>
      </c>
      <c r="P351" s="5" t="str">
        <f aca="true">IF($D351="","",IF($B351="","",IF($K351="Completed",IF($L351="","",$L351-$B351),TODAY()-$B351)))</f>
        <v/>
      </c>
      <c r="Q351" s="5" t="str">
        <f aca="false">IF($D351="","",IF($K351="Completed","",MAX($Q$1:$Q350)+1))</f>
        <v/>
      </c>
      <c r="R351" s="7"/>
    </row>
    <row r="352" customFormat="false" ht="15" hidden="false" customHeight="false" outlineLevel="0" collapsed="false">
      <c r="A352" s="5" t="str">
        <f aca="false">IF($D352="","",ROW()-1)</f>
        <v/>
      </c>
      <c r="B352" s="6"/>
      <c r="C352" s="7"/>
      <c r="D352" s="7"/>
      <c r="E352" s="7"/>
      <c r="F352" s="7"/>
      <c r="G352" s="8"/>
      <c r="H352" s="6"/>
      <c r="I352" s="9"/>
      <c r="J352" s="10"/>
      <c r="K352" s="8"/>
      <c r="L352" s="6"/>
      <c r="M352" s="11" t="str">
        <f aca="true">IF($D352="","",IF($K352="Completed",IF($L352="",$H352,$L352),IF($H352="","",IF($H352&lt;TODAY(),TODAY(),$H352))))</f>
        <v/>
      </c>
      <c r="N352" s="12" t="str">
        <f aca="true">IF($D352="","",IF($K352="Completed","Completed",IF($H352="","No Due Date",IF($H352&lt;TODAY(),"Carried Forward",IF($H352=TODAY(),"Due Today","Upcoming")))))</f>
        <v/>
      </c>
      <c r="O352" s="5" t="str">
        <f aca="true">IF($D352="","",IF($I352="","",IF($K352="Completed","",$I352-TODAY())))</f>
        <v/>
      </c>
      <c r="P352" s="5" t="str">
        <f aca="true">IF($D352="","",IF($B352="","",IF($K352="Completed",IF($L352="","",$L352-$B352),TODAY()-$B352)))</f>
        <v/>
      </c>
      <c r="Q352" s="5" t="str">
        <f aca="false">IF($D352="","",IF($K352="Completed","",MAX($Q$1:$Q351)+1))</f>
        <v/>
      </c>
      <c r="R352" s="7"/>
    </row>
    <row r="353" customFormat="false" ht="15" hidden="false" customHeight="false" outlineLevel="0" collapsed="false">
      <c r="A353" s="5" t="str">
        <f aca="false">IF($D353="","",ROW()-1)</f>
        <v/>
      </c>
      <c r="B353" s="6"/>
      <c r="C353" s="7"/>
      <c r="D353" s="7"/>
      <c r="E353" s="7"/>
      <c r="F353" s="7"/>
      <c r="G353" s="8"/>
      <c r="H353" s="6"/>
      <c r="I353" s="9"/>
      <c r="J353" s="10"/>
      <c r="K353" s="8"/>
      <c r="L353" s="6"/>
      <c r="M353" s="11" t="str">
        <f aca="true">IF($D353="","",IF($K353="Completed",IF($L353="",$H353,$L353),IF($H353="","",IF($H353&lt;TODAY(),TODAY(),$H353))))</f>
        <v/>
      </c>
      <c r="N353" s="12" t="str">
        <f aca="true">IF($D353="","",IF($K353="Completed","Completed",IF($H353="","No Due Date",IF($H353&lt;TODAY(),"Carried Forward",IF($H353=TODAY(),"Due Today","Upcoming")))))</f>
        <v/>
      </c>
      <c r="O353" s="5" t="str">
        <f aca="true">IF($D353="","",IF($I353="","",IF($K353="Completed","",$I353-TODAY())))</f>
        <v/>
      </c>
      <c r="P353" s="5" t="str">
        <f aca="true">IF($D353="","",IF($B353="","",IF($K353="Completed",IF($L353="","",$L353-$B353),TODAY()-$B353)))</f>
        <v/>
      </c>
      <c r="Q353" s="5" t="str">
        <f aca="false">IF($D353="","",IF($K353="Completed","",MAX($Q$1:$Q352)+1))</f>
        <v/>
      </c>
      <c r="R353" s="7"/>
    </row>
    <row r="354" customFormat="false" ht="15" hidden="false" customHeight="false" outlineLevel="0" collapsed="false">
      <c r="A354" s="5" t="str">
        <f aca="false">IF($D354="","",ROW()-1)</f>
        <v/>
      </c>
      <c r="B354" s="6"/>
      <c r="C354" s="7"/>
      <c r="D354" s="7"/>
      <c r="E354" s="7"/>
      <c r="F354" s="7"/>
      <c r="G354" s="8"/>
      <c r="H354" s="6"/>
      <c r="I354" s="9"/>
      <c r="J354" s="10"/>
      <c r="K354" s="8"/>
      <c r="L354" s="6"/>
      <c r="M354" s="11" t="str">
        <f aca="true">IF($D354="","",IF($K354="Completed",IF($L354="",$H354,$L354),IF($H354="","",IF($H354&lt;TODAY(),TODAY(),$H354))))</f>
        <v/>
      </c>
      <c r="N354" s="12" t="str">
        <f aca="true">IF($D354="","",IF($K354="Completed","Completed",IF($H354="","No Due Date",IF($H354&lt;TODAY(),"Carried Forward",IF($H354=TODAY(),"Due Today","Upcoming")))))</f>
        <v/>
      </c>
      <c r="O354" s="5" t="str">
        <f aca="true">IF($D354="","",IF($I354="","",IF($K354="Completed","",$I354-TODAY())))</f>
        <v/>
      </c>
      <c r="P354" s="5" t="str">
        <f aca="true">IF($D354="","",IF($B354="","",IF($K354="Completed",IF($L354="","",$L354-$B354),TODAY()-$B354)))</f>
        <v/>
      </c>
      <c r="Q354" s="5" t="str">
        <f aca="false">IF($D354="","",IF($K354="Completed","",MAX($Q$1:$Q353)+1))</f>
        <v/>
      </c>
      <c r="R354" s="7"/>
    </row>
    <row r="355" customFormat="false" ht="15" hidden="false" customHeight="false" outlineLevel="0" collapsed="false">
      <c r="A355" s="5" t="str">
        <f aca="false">IF($D355="","",ROW()-1)</f>
        <v/>
      </c>
      <c r="B355" s="6"/>
      <c r="C355" s="7"/>
      <c r="D355" s="7"/>
      <c r="E355" s="7"/>
      <c r="F355" s="7"/>
      <c r="G355" s="8"/>
      <c r="H355" s="6"/>
      <c r="I355" s="9"/>
      <c r="J355" s="10"/>
      <c r="K355" s="8"/>
      <c r="L355" s="6"/>
      <c r="M355" s="11" t="str">
        <f aca="true">IF($D355="","",IF($K355="Completed",IF($L355="",$H355,$L355),IF($H355="","",IF($H355&lt;TODAY(),TODAY(),$H355))))</f>
        <v/>
      </c>
      <c r="N355" s="12" t="str">
        <f aca="true">IF($D355="","",IF($K355="Completed","Completed",IF($H355="","No Due Date",IF($H355&lt;TODAY(),"Carried Forward",IF($H355=TODAY(),"Due Today","Upcoming")))))</f>
        <v/>
      </c>
      <c r="O355" s="5" t="str">
        <f aca="true">IF($D355="","",IF($I355="","",IF($K355="Completed","",$I355-TODAY())))</f>
        <v/>
      </c>
      <c r="P355" s="5" t="str">
        <f aca="true">IF($D355="","",IF($B355="","",IF($K355="Completed",IF($L355="","",$L355-$B355),TODAY()-$B355)))</f>
        <v/>
      </c>
      <c r="Q355" s="5" t="str">
        <f aca="false">IF($D355="","",IF($K355="Completed","",MAX($Q$1:$Q354)+1))</f>
        <v/>
      </c>
      <c r="R355" s="7"/>
    </row>
    <row r="356" customFormat="false" ht="15" hidden="false" customHeight="false" outlineLevel="0" collapsed="false">
      <c r="A356" s="5" t="str">
        <f aca="false">IF($D356="","",ROW()-1)</f>
        <v/>
      </c>
      <c r="B356" s="6"/>
      <c r="C356" s="7"/>
      <c r="D356" s="7"/>
      <c r="E356" s="7"/>
      <c r="F356" s="7"/>
      <c r="G356" s="8"/>
      <c r="H356" s="6"/>
      <c r="I356" s="9"/>
      <c r="J356" s="10"/>
      <c r="K356" s="8"/>
      <c r="L356" s="6"/>
      <c r="M356" s="11" t="str">
        <f aca="true">IF($D356="","",IF($K356="Completed",IF($L356="",$H356,$L356),IF($H356="","",IF($H356&lt;TODAY(),TODAY(),$H356))))</f>
        <v/>
      </c>
      <c r="N356" s="12" t="str">
        <f aca="true">IF($D356="","",IF($K356="Completed","Completed",IF($H356="","No Due Date",IF($H356&lt;TODAY(),"Carried Forward",IF($H356=TODAY(),"Due Today","Upcoming")))))</f>
        <v/>
      </c>
      <c r="O356" s="5" t="str">
        <f aca="true">IF($D356="","",IF($I356="","",IF($K356="Completed","",$I356-TODAY())))</f>
        <v/>
      </c>
      <c r="P356" s="5" t="str">
        <f aca="true">IF($D356="","",IF($B356="","",IF($K356="Completed",IF($L356="","",$L356-$B356),TODAY()-$B356)))</f>
        <v/>
      </c>
      <c r="Q356" s="5" t="str">
        <f aca="false">IF($D356="","",IF($K356="Completed","",MAX($Q$1:$Q355)+1))</f>
        <v/>
      </c>
      <c r="R356" s="7"/>
    </row>
    <row r="357" customFormat="false" ht="15" hidden="false" customHeight="false" outlineLevel="0" collapsed="false">
      <c r="A357" s="5" t="str">
        <f aca="false">IF($D357="","",ROW()-1)</f>
        <v/>
      </c>
      <c r="B357" s="6"/>
      <c r="C357" s="7"/>
      <c r="D357" s="7"/>
      <c r="E357" s="7"/>
      <c r="F357" s="7"/>
      <c r="G357" s="8"/>
      <c r="H357" s="6"/>
      <c r="I357" s="9"/>
      <c r="J357" s="10"/>
      <c r="K357" s="8"/>
      <c r="L357" s="6"/>
      <c r="M357" s="11" t="str">
        <f aca="true">IF($D357="","",IF($K357="Completed",IF($L357="",$H357,$L357),IF($H357="","",IF($H357&lt;TODAY(),TODAY(),$H357))))</f>
        <v/>
      </c>
      <c r="N357" s="12" t="str">
        <f aca="true">IF($D357="","",IF($K357="Completed","Completed",IF($H357="","No Due Date",IF($H357&lt;TODAY(),"Carried Forward",IF($H357=TODAY(),"Due Today","Upcoming")))))</f>
        <v/>
      </c>
      <c r="O357" s="5" t="str">
        <f aca="true">IF($D357="","",IF($I357="","",IF($K357="Completed","",$I357-TODAY())))</f>
        <v/>
      </c>
      <c r="P357" s="5" t="str">
        <f aca="true">IF($D357="","",IF($B357="","",IF($K357="Completed",IF($L357="","",$L357-$B357),TODAY()-$B357)))</f>
        <v/>
      </c>
      <c r="Q357" s="5" t="str">
        <f aca="false">IF($D357="","",IF($K357="Completed","",MAX($Q$1:$Q356)+1))</f>
        <v/>
      </c>
      <c r="R357" s="7"/>
    </row>
    <row r="358" customFormat="false" ht="15" hidden="false" customHeight="false" outlineLevel="0" collapsed="false">
      <c r="A358" s="5" t="str">
        <f aca="false">IF($D358="","",ROW()-1)</f>
        <v/>
      </c>
      <c r="B358" s="6"/>
      <c r="C358" s="7"/>
      <c r="D358" s="7"/>
      <c r="E358" s="7"/>
      <c r="F358" s="7"/>
      <c r="G358" s="8"/>
      <c r="H358" s="6"/>
      <c r="I358" s="9"/>
      <c r="J358" s="10"/>
      <c r="K358" s="8"/>
      <c r="L358" s="6"/>
      <c r="M358" s="11" t="str">
        <f aca="true">IF($D358="","",IF($K358="Completed",IF($L358="",$H358,$L358),IF($H358="","",IF($H358&lt;TODAY(),TODAY(),$H358))))</f>
        <v/>
      </c>
      <c r="N358" s="12" t="str">
        <f aca="true">IF($D358="","",IF($K358="Completed","Completed",IF($H358="","No Due Date",IF($H358&lt;TODAY(),"Carried Forward",IF($H358=TODAY(),"Due Today","Upcoming")))))</f>
        <v/>
      </c>
      <c r="O358" s="5" t="str">
        <f aca="true">IF($D358="","",IF($I358="","",IF($K358="Completed","",$I358-TODAY())))</f>
        <v/>
      </c>
      <c r="P358" s="5" t="str">
        <f aca="true">IF($D358="","",IF($B358="","",IF($K358="Completed",IF($L358="","",$L358-$B358),TODAY()-$B358)))</f>
        <v/>
      </c>
      <c r="Q358" s="5" t="str">
        <f aca="false">IF($D358="","",IF($K358="Completed","",MAX($Q$1:$Q357)+1))</f>
        <v/>
      </c>
      <c r="R358" s="7"/>
    </row>
    <row r="359" customFormat="false" ht="15" hidden="false" customHeight="false" outlineLevel="0" collapsed="false">
      <c r="A359" s="5" t="str">
        <f aca="false">IF($D359="","",ROW()-1)</f>
        <v/>
      </c>
      <c r="B359" s="6"/>
      <c r="C359" s="7"/>
      <c r="D359" s="7"/>
      <c r="E359" s="7"/>
      <c r="F359" s="7"/>
      <c r="G359" s="8"/>
      <c r="H359" s="6"/>
      <c r="I359" s="9"/>
      <c r="J359" s="10"/>
      <c r="K359" s="8"/>
      <c r="L359" s="6"/>
      <c r="M359" s="11" t="str">
        <f aca="true">IF($D359="","",IF($K359="Completed",IF($L359="",$H359,$L359),IF($H359="","",IF($H359&lt;TODAY(),TODAY(),$H359))))</f>
        <v/>
      </c>
      <c r="N359" s="12" t="str">
        <f aca="true">IF($D359="","",IF($K359="Completed","Completed",IF($H359="","No Due Date",IF($H359&lt;TODAY(),"Carried Forward",IF($H359=TODAY(),"Due Today","Upcoming")))))</f>
        <v/>
      </c>
      <c r="O359" s="5" t="str">
        <f aca="true">IF($D359="","",IF($I359="","",IF($K359="Completed","",$I359-TODAY())))</f>
        <v/>
      </c>
      <c r="P359" s="5" t="str">
        <f aca="true">IF($D359="","",IF($B359="","",IF($K359="Completed",IF($L359="","",$L359-$B359),TODAY()-$B359)))</f>
        <v/>
      </c>
      <c r="Q359" s="5" t="str">
        <f aca="false">IF($D359="","",IF($K359="Completed","",MAX($Q$1:$Q358)+1))</f>
        <v/>
      </c>
      <c r="R359" s="7"/>
    </row>
    <row r="360" customFormat="false" ht="15" hidden="false" customHeight="false" outlineLevel="0" collapsed="false">
      <c r="A360" s="5" t="str">
        <f aca="false">IF($D360="","",ROW()-1)</f>
        <v/>
      </c>
      <c r="B360" s="6"/>
      <c r="C360" s="7"/>
      <c r="D360" s="7"/>
      <c r="E360" s="7"/>
      <c r="F360" s="7"/>
      <c r="G360" s="8"/>
      <c r="H360" s="6"/>
      <c r="I360" s="9"/>
      <c r="J360" s="10"/>
      <c r="K360" s="8"/>
      <c r="L360" s="6"/>
      <c r="M360" s="11" t="str">
        <f aca="true">IF($D360="","",IF($K360="Completed",IF($L360="",$H360,$L360),IF($H360="","",IF($H360&lt;TODAY(),TODAY(),$H360))))</f>
        <v/>
      </c>
      <c r="N360" s="12" t="str">
        <f aca="true">IF($D360="","",IF($K360="Completed","Completed",IF($H360="","No Due Date",IF($H360&lt;TODAY(),"Carried Forward",IF($H360=TODAY(),"Due Today","Upcoming")))))</f>
        <v/>
      </c>
      <c r="O360" s="5" t="str">
        <f aca="true">IF($D360="","",IF($I360="","",IF($K360="Completed","",$I360-TODAY())))</f>
        <v/>
      </c>
      <c r="P360" s="5" t="str">
        <f aca="true">IF($D360="","",IF($B360="","",IF($K360="Completed",IF($L360="","",$L360-$B360),TODAY()-$B360)))</f>
        <v/>
      </c>
      <c r="Q360" s="5" t="str">
        <f aca="false">IF($D360="","",IF($K360="Completed","",MAX($Q$1:$Q359)+1))</f>
        <v/>
      </c>
      <c r="R360" s="7"/>
    </row>
    <row r="361" customFormat="false" ht="15" hidden="false" customHeight="false" outlineLevel="0" collapsed="false">
      <c r="A361" s="5" t="str">
        <f aca="false">IF($D361="","",ROW()-1)</f>
        <v/>
      </c>
      <c r="B361" s="6"/>
      <c r="C361" s="7"/>
      <c r="D361" s="7"/>
      <c r="E361" s="7"/>
      <c r="F361" s="7"/>
      <c r="G361" s="8"/>
      <c r="H361" s="6"/>
      <c r="I361" s="9"/>
      <c r="J361" s="10"/>
      <c r="K361" s="8"/>
      <c r="L361" s="6"/>
      <c r="M361" s="11" t="str">
        <f aca="true">IF($D361="","",IF($K361="Completed",IF($L361="",$H361,$L361),IF($H361="","",IF($H361&lt;TODAY(),TODAY(),$H361))))</f>
        <v/>
      </c>
      <c r="N361" s="12" t="str">
        <f aca="true">IF($D361="","",IF($K361="Completed","Completed",IF($H361="","No Due Date",IF($H361&lt;TODAY(),"Carried Forward",IF($H361=TODAY(),"Due Today","Upcoming")))))</f>
        <v/>
      </c>
      <c r="O361" s="5" t="str">
        <f aca="true">IF($D361="","",IF($I361="","",IF($K361="Completed","",$I361-TODAY())))</f>
        <v/>
      </c>
      <c r="P361" s="5" t="str">
        <f aca="true">IF($D361="","",IF($B361="","",IF($K361="Completed",IF($L361="","",$L361-$B361),TODAY()-$B361)))</f>
        <v/>
      </c>
      <c r="Q361" s="5" t="str">
        <f aca="false">IF($D361="","",IF($K361="Completed","",MAX($Q$1:$Q360)+1))</f>
        <v/>
      </c>
      <c r="R361" s="7"/>
    </row>
    <row r="362" customFormat="false" ht="15" hidden="false" customHeight="false" outlineLevel="0" collapsed="false">
      <c r="A362" s="5" t="str">
        <f aca="false">IF($D362="","",ROW()-1)</f>
        <v/>
      </c>
      <c r="B362" s="6"/>
      <c r="C362" s="7"/>
      <c r="D362" s="7"/>
      <c r="E362" s="7"/>
      <c r="F362" s="7"/>
      <c r="G362" s="8"/>
      <c r="H362" s="6"/>
      <c r="I362" s="9"/>
      <c r="J362" s="10"/>
      <c r="K362" s="8"/>
      <c r="L362" s="6"/>
      <c r="M362" s="11" t="str">
        <f aca="true">IF($D362="","",IF($K362="Completed",IF($L362="",$H362,$L362),IF($H362="","",IF($H362&lt;TODAY(),TODAY(),$H362))))</f>
        <v/>
      </c>
      <c r="N362" s="12" t="str">
        <f aca="true">IF($D362="","",IF($K362="Completed","Completed",IF($H362="","No Due Date",IF($H362&lt;TODAY(),"Carried Forward",IF($H362=TODAY(),"Due Today","Upcoming")))))</f>
        <v/>
      </c>
      <c r="O362" s="5" t="str">
        <f aca="true">IF($D362="","",IF($I362="","",IF($K362="Completed","",$I362-TODAY())))</f>
        <v/>
      </c>
      <c r="P362" s="5" t="str">
        <f aca="true">IF($D362="","",IF($B362="","",IF($K362="Completed",IF($L362="","",$L362-$B362),TODAY()-$B362)))</f>
        <v/>
      </c>
      <c r="Q362" s="5" t="str">
        <f aca="false">IF($D362="","",IF($K362="Completed","",MAX($Q$1:$Q361)+1))</f>
        <v/>
      </c>
      <c r="R362" s="7"/>
    </row>
    <row r="363" customFormat="false" ht="15" hidden="false" customHeight="false" outlineLevel="0" collapsed="false">
      <c r="A363" s="5" t="str">
        <f aca="false">IF($D363="","",ROW()-1)</f>
        <v/>
      </c>
      <c r="B363" s="6"/>
      <c r="C363" s="7"/>
      <c r="D363" s="7"/>
      <c r="E363" s="7"/>
      <c r="F363" s="7"/>
      <c r="G363" s="8"/>
      <c r="H363" s="6"/>
      <c r="I363" s="9"/>
      <c r="J363" s="10"/>
      <c r="K363" s="8"/>
      <c r="L363" s="6"/>
      <c r="M363" s="11" t="str">
        <f aca="true">IF($D363="","",IF($K363="Completed",IF($L363="",$H363,$L363),IF($H363="","",IF($H363&lt;TODAY(),TODAY(),$H363))))</f>
        <v/>
      </c>
      <c r="N363" s="12" t="str">
        <f aca="true">IF($D363="","",IF($K363="Completed","Completed",IF($H363="","No Due Date",IF($H363&lt;TODAY(),"Carried Forward",IF($H363=TODAY(),"Due Today","Upcoming")))))</f>
        <v/>
      </c>
      <c r="O363" s="5" t="str">
        <f aca="true">IF($D363="","",IF($I363="","",IF($K363="Completed","",$I363-TODAY())))</f>
        <v/>
      </c>
      <c r="P363" s="5" t="str">
        <f aca="true">IF($D363="","",IF($B363="","",IF($K363="Completed",IF($L363="","",$L363-$B363),TODAY()-$B363)))</f>
        <v/>
      </c>
      <c r="Q363" s="5" t="str">
        <f aca="false">IF($D363="","",IF($K363="Completed","",MAX($Q$1:$Q362)+1))</f>
        <v/>
      </c>
      <c r="R363" s="7"/>
    </row>
    <row r="364" customFormat="false" ht="15" hidden="false" customHeight="false" outlineLevel="0" collapsed="false">
      <c r="A364" s="5" t="str">
        <f aca="false">IF($D364="","",ROW()-1)</f>
        <v/>
      </c>
      <c r="B364" s="6"/>
      <c r="C364" s="7"/>
      <c r="D364" s="7"/>
      <c r="E364" s="7"/>
      <c r="F364" s="7"/>
      <c r="G364" s="8"/>
      <c r="H364" s="6"/>
      <c r="I364" s="9"/>
      <c r="J364" s="10"/>
      <c r="K364" s="8"/>
      <c r="L364" s="6"/>
      <c r="M364" s="11" t="str">
        <f aca="true">IF($D364="","",IF($K364="Completed",IF($L364="",$H364,$L364),IF($H364="","",IF($H364&lt;TODAY(),TODAY(),$H364))))</f>
        <v/>
      </c>
      <c r="N364" s="12" t="str">
        <f aca="true">IF($D364="","",IF($K364="Completed","Completed",IF($H364="","No Due Date",IF($H364&lt;TODAY(),"Carried Forward",IF($H364=TODAY(),"Due Today","Upcoming")))))</f>
        <v/>
      </c>
      <c r="O364" s="5" t="str">
        <f aca="true">IF($D364="","",IF($I364="","",IF($K364="Completed","",$I364-TODAY())))</f>
        <v/>
      </c>
      <c r="P364" s="5" t="str">
        <f aca="true">IF($D364="","",IF($B364="","",IF($K364="Completed",IF($L364="","",$L364-$B364),TODAY()-$B364)))</f>
        <v/>
      </c>
      <c r="Q364" s="5" t="str">
        <f aca="false">IF($D364="","",IF($K364="Completed","",MAX($Q$1:$Q363)+1))</f>
        <v/>
      </c>
      <c r="R364" s="7"/>
    </row>
    <row r="365" customFormat="false" ht="15" hidden="false" customHeight="false" outlineLevel="0" collapsed="false">
      <c r="A365" s="5" t="str">
        <f aca="false">IF($D365="","",ROW()-1)</f>
        <v/>
      </c>
      <c r="B365" s="6"/>
      <c r="C365" s="7"/>
      <c r="D365" s="7"/>
      <c r="E365" s="7"/>
      <c r="F365" s="7"/>
      <c r="G365" s="8"/>
      <c r="H365" s="6"/>
      <c r="I365" s="9"/>
      <c r="J365" s="10"/>
      <c r="K365" s="8"/>
      <c r="L365" s="6"/>
      <c r="M365" s="11" t="str">
        <f aca="true">IF($D365="","",IF($K365="Completed",IF($L365="",$H365,$L365),IF($H365="","",IF($H365&lt;TODAY(),TODAY(),$H365))))</f>
        <v/>
      </c>
      <c r="N365" s="12" t="str">
        <f aca="true">IF($D365="","",IF($K365="Completed","Completed",IF($H365="","No Due Date",IF($H365&lt;TODAY(),"Carried Forward",IF($H365=TODAY(),"Due Today","Upcoming")))))</f>
        <v/>
      </c>
      <c r="O365" s="5" t="str">
        <f aca="true">IF($D365="","",IF($I365="","",IF($K365="Completed","",$I365-TODAY())))</f>
        <v/>
      </c>
      <c r="P365" s="5" t="str">
        <f aca="true">IF($D365="","",IF($B365="","",IF($K365="Completed",IF($L365="","",$L365-$B365),TODAY()-$B365)))</f>
        <v/>
      </c>
      <c r="Q365" s="5" t="str">
        <f aca="false">IF($D365="","",IF($K365="Completed","",MAX($Q$1:$Q364)+1))</f>
        <v/>
      </c>
      <c r="R365" s="7"/>
    </row>
    <row r="366" customFormat="false" ht="15" hidden="false" customHeight="false" outlineLevel="0" collapsed="false">
      <c r="A366" s="5" t="str">
        <f aca="false">IF($D366="","",ROW()-1)</f>
        <v/>
      </c>
      <c r="B366" s="6"/>
      <c r="C366" s="7"/>
      <c r="D366" s="7"/>
      <c r="E366" s="7"/>
      <c r="F366" s="7"/>
      <c r="G366" s="8"/>
      <c r="H366" s="6"/>
      <c r="I366" s="9"/>
      <c r="J366" s="10"/>
      <c r="K366" s="8"/>
      <c r="L366" s="6"/>
      <c r="M366" s="11" t="str">
        <f aca="true">IF($D366="","",IF($K366="Completed",IF($L366="",$H366,$L366),IF($H366="","",IF($H366&lt;TODAY(),TODAY(),$H366))))</f>
        <v/>
      </c>
      <c r="N366" s="12" t="str">
        <f aca="true">IF($D366="","",IF($K366="Completed","Completed",IF($H366="","No Due Date",IF($H366&lt;TODAY(),"Carried Forward",IF($H366=TODAY(),"Due Today","Upcoming")))))</f>
        <v/>
      </c>
      <c r="O366" s="5" t="str">
        <f aca="true">IF($D366="","",IF($I366="","",IF($K366="Completed","",$I366-TODAY())))</f>
        <v/>
      </c>
      <c r="P366" s="5" t="str">
        <f aca="true">IF($D366="","",IF($B366="","",IF($K366="Completed",IF($L366="","",$L366-$B366),TODAY()-$B366)))</f>
        <v/>
      </c>
      <c r="Q366" s="5" t="str">
        <f aca="false">IF($D366="","",IF($K366="Completed","",MAX($Q$1:$Q365)+1))</f>
        <v/>
      </c>
      <c r="R366" s="7"/>
    </row>
    <row r="367" customFormat="false" ht="15" hidden="false" customHeight="false" outlineLevel="0" collapsed="false">
      <c r="A367" s="5" t="str">
        <f aca="false">IF($D367="","",ROW()-1)</f>
        <v/>
      </c>
      <c r="B367" s="6"/>
      <c r="C367" s="7"/>
      <c r="D367" s="7"/>
      <c r="E367" s="7"/>
      <c r="F367" s="7"/>
      <c r="G367" s="8"/>
      <c r="H367" s="6"/>
      <c r="I367" s="9"/>
      <c r="J367" s="10"/>
      <c r="K367" s="8"/>
      <c r="L367" s="6"/>
      <c r="M367" s="11" t="str">
        <f aca="true">IF($D367="","",IF($K367="Completed",IF($L367="",$H367,$L367),IF($H367="","",IF($H367&lt;TODAY(),TODAY(),$H367))))</f>
        <v/>
      </c>
      <c r="N367" s="12" t="str">
        <f aca="true">IF($D367="","",IF($K367="Completed","Completed",IF($H367="","No Due Date",IF($H367&lt;TODAY(),"Carried Forward",IF($H367=TODAY(),"Due Today","Upcoming")))))</f>
        <v/>
      </c>
      <c r="O367" s="5" t="str">
        <f aca="true">IF($D367="","",IF($I367="","",IF($K367="Completed","",$I367-TODAY())))</f>
        <v/>
      </c>
      <c r="P367" s="5" t="str">
        <f aca="true">IF($D367="","",IF($B367="","",IF($K367="Completed",IF($L367="","",$L367-$B367),TODAY()-$B367)))</f>
        <v/>
      </c>
      <c r="Q367" s="5" t="str">
        <f aca="false">IF($D367="","",IF($K367="Completed","",MAX($Q$1:$Q366)+1))</f>
        <v/>
      </c>
      <c r="R367" s="7"/>
    </row>
    <row r="368" customFormat="false" ht="15" hidden="false" customHeight="false" outlineLevel="0" collapsed="false">
      <c r="A368" s="5" t="str">
        <f aca="false">IF($D368="","",ROW()-1)</f>
        <v/>
      </c>
      <c r="B368" s="6"/>
      <c r="C368" s="7"/>
      <c r="D368" s="7"/>
      <c r="E368" s="7"/>
      <c r="F368" s="7"/>
      <c r="G368" s="8"/>
      <c r="H368" s="6"/>
      <c r="I368" s="9"/>
      <c r="J368" s="10"/>
      <c r="K368" s="8"/>
      <c r="L368" s="6"/>
      <c r="M368" s="11" t="str">
        <f aca="true">IF($D368="","",IF($K368="Completed",IF($L368="",$H368,$L368),IF($H368="","",IF($H368&lt;TODAY(),TODAY(),$H368))))</f>
        <v/>
      </c>
      <c r="N368" s="12" t="str">
        <f aca="true">IF($D368="","",IF($K368="Completed","Completed",IF($H368="","No Due Date",IF($H368&lt;TODAY(),"Carried Forward",IF($H368=TODAY(),"Due Today","Upcoming")))))</f>
        <v/>
      </c>
      <c r="O368" s="5" t="str">
        <f aca="true">IF($D368="","",IF($I368="","",IF($K368="Completed","",$I368-TODAY())))</f>
        <v/>
      </c>
      <c r="P368" s="5" t="str">
        <f aca="true">IF($D368="","",IF($B368="","",IF($K368="Completed",IF($L368="","",$L368-$B368),TODAY()-$B368)))</f>
        <v/>
      </c>
      <c r="Q368" s="5" t="str">
        <f aca="false">IF($D368="","",IF($K368="Completed","",MAX($Q$1:$Q367)+1))</f>
        <v/>
      </c>
      <c r="R368" s="7"/>
    </row>
    <row r="369" customFormat="false" ht="15" hidden="false" customHeight="false" outlineLevel="0" collapsed="false">
      <c r="A369" s="5" t="str">
        <f aca="false">IF($D369="","",ROW()-1)</f>
        <v/>
      </c>
      <c r="B369" s="6"/>
      <c r="C369" s="7"/>
      <c r="D369" s="7"/>
      <c r="E369" s="7"/>
      <c r="F369" s="7"/>
      <c r="G369" s="8"/>
      <c r="H369" s="6"/>
      <c r="I369" s="9"/>
      <c r="J369" s="10"/>
      <c r="K369" s="8"/>
      <c r="L369" s="6"/>
      <c r="M369" s="11" t="str">
        <f aca="true">IF($D369="","",IF($K369="Completed",IF($L369="",$H369,$L369),IF($H369="","",IF($H369&lt;TODAY(),TODAY(),$H369))))</f>
        <v/>
      </c>
      <c r="N369" s="12" t="str">
        <f aca="true">IF($D369="","",IF($K369="Completed","Completed",IF($H369="","No Due Date",IF($H369&lt;TODAY(),"Carried Forward",IF($H369=TODAY(),"Due Today","Upcoming")))))</f>
        <v/>
      </c>
      <c r="O369" s="5" t="str">
        <f aca="true">IF($D369="","",IF($I369="","",IF($K369="Completed","",$I369-TODAY())))</f>
        <v/>
      </c>
      <c r="P369" s="5" t="str">
        <f aca="true">IF($D369="","",IF($B369="","",IF($K369="Completed",IF($L369="","",$L369-$B369),TODAY()-$B369)))</f>
        <v/>
      </c>
      <c r="Q369" s="5" t="str">
        <f aca="false">IF($D369="","",IF($K369="Completed","",MAX($Q$1:$Q368)+1))</f>
        <v/>
      </c>
      <c r="R369" s="7"/>
    </row>
    <row r="370" customFormat="false" ht="15" hidden="false" customHeight="false" outlineLevel="0" collapsed="false">
      <c r="A370" s="5" t="str">
        <f aca="false">IF($D370="","",ROW()-1)</f>
        <v/>
      </c>
      <c r="B370" s="6"/>
      <c r="C370" s="7"/>
      <c r="D370" s="7"/>
      <c r="E370" s="7"/>
      <c r="F370" s="7"/>
      <c r="G370" s="8"/>
      <c r="H370" s="6"/>
      <c r="I370" s="9"/>
      <c r="J370" s="10"/>
      <c r="K370" s="8"/>
      <c r="L370" s="6"/>
      <c r="M370" s="11" t="str">
        <f aca="true">IF($D370="","",IF($K370="Completed",IF($L370="",$H370,$L370),IF($H370="","",IF($H370&lt;TODAY(),TODAY(),$H370))))</f>
        <v/>
      </c>
      <c r="N370" s="12" t="str">
        <f aca="true">IF($D370="","",IF($K370="Completed","Completed",IF($H370="","No Due Date",IF($H370&lt;TODAY(),"Carried Forward",IF($H370=TODAY(),"Due Today","Upcoming")))))</f>
        <v/>
      </c>
      <c r="O370" s="5" t="str">
        <f aca="true">IF($D370="","",IF($I370="","",IF($K370="Completed","",$I370-TODAY())))</f>
        <v/>
      </c>
      <c r="P370" s="5" t="str">
        <f aca="true">IF($D370="","",IF($B370="","",IF($K370="Completed",IF($L370="","",$L370-$B370),TODAY()-$B370)))</f>
        <v/>
      </c>
      <c r="Q370" s="5" t="str">
        <f aca="false">IF($D370="","",IF($K370="Completed","",MAX($Q$1:$Q369)+1))</f>
        <v/>
      </c>
      <c r="R370" s="7"/>
    </row>
    <row r="371" customFormat="false" ht="15" hidden="false" customHeight="false" outlineLevel="0" collapsed="false">
      <c r="A371" s="5" t="str">
        <f aca="false">IF($D371="","",ROW()-1)</f>
        <v/>
      </c>
      <c r="B371" s="6"/>
      <c r="C371" s="7"/>
      <c r="D371" s="7"/>
      <c r="E371" s="7"/>
      <c r="F371" s="7"/>
      <c r="G371" s="8"/>
      <c r="H371" s="6"/>
      <c r="I371" s="9"/>
      <c r="J371" s="10"/>
      <c r="K371" s="8"/>
      <c r="L371" s="6"/>
      <c r="M371" s="11" t="str">
        <f aca="true">IF($D371="","",IF($K371="Completed",IF($L371="",$H371,$L371),IF($H371="","",IF($H371&lt;TODAY(),TODAY(),$H371))))</f>
        <v/>
      </c>
      <c r="N371" s="12" t="str">
        <f aca="true">IF($D371="","",IF($K371="Completed","Completed",IF($H371="","No Due Date",IF($H371&lt;TODAY(),"Carried Forward",IF($H371=TODAY(),"Due Today","Upcoming")))))</f>
        <v/>
      </c>
      <c r="O371" s="5" t="str">
        <f aca="true">IF($D371="","",IF($I371="","",IF($K371="Completed","",$I371-TODAY())))</f>
        <v/>
      </c>
      <c r="P371" s="5" t="str">
        <f aca="true">IF($D371="","",IF($B371="","",IF($K371="Completed",IF($L371="","",$L371-$B371),TODAY()-$B371)))</f>
        <v/>
      </c>
      <c r="Q371" s="5" t="str">
        <f aca="false">IF($D371="","",IF($K371="Completed","",MAX($Q$1:$Q370)+1))</f>
        <v/>
      </c>
      <c r="R371" s="7"/>
    </row>
    <row r="372" customFormat="false" ht="15" hidden="false" customHeight="false" outlineLevel="0" collapsed="false">
      <c r="A372" s="5" t="str">
        <f aca="false">IF($D372="","",ROW()-1)</f>
        <v/>
      </c>
      <c r="B372" s="6"/>
      <c r="C372" s="7"/>
      <c r="D372" s="7"/>
      <c r="E372" s="7"/>
      <c r="F372" s="7"/>
      <c r="G372" s="8"/>
      <c r="H372" s="6"/>
      <c r="I372" s="9"/>
      <c r="J372" s="10"/>
      <c r="K372" s="8"/>
      <c r="L372" s="6"/>
      <c r="M372" s="11" t="str">
        <f aca="true">IF($D372="","",IF($K372="Completed",IF($L372="",$H372,$L372),IF($H372="","",IF($H372&lt;TODAY(),TODAY(),$H372))))</f>
        <v/>
      </c>
      <c r="N372" s="12" t="str">
        <f aca="true">IF($D372="","",IF($K372="Completed","Completed",IF($H372="","No Due Date",IF($H372&lt;TODAY(),"Carried Forward",IF($H372=TODAY(),"Due Today","Upcoming")))))</f>
        <v/>
      </c>
      <c r="O372" s="5" t="str">
        <f aca="true">IF($D372="","",IF($I372="","",IF($K372="Completed","",$I372-TODAY())))</f>
        <v/>
      </c>
      <c r="P372" s="5" t="str">
        <f aca="true">IF($D372="","",IF($B372="","",IF($K372="Completed",IF($L372="","",$L372-$B372),TODAY()-$B372)))</f>
        <v/>
      </c>
      <c r="Q372" s="5" t="str">
        <f aca="false">IF($D372="","",IF($K372="Completed","",MAX($Q$1:$Q371)+1))</f>
        <v/>
      </c>
      <c r="R372" s="7"/>
    </row>
    <row r="373" customFormat="false" ht="15" hidden="false" customHeight="false" outlineLevel="0" collapsed="false">
      <c r="A373" s="5" t="str">
        <f aca="false">IF($D373="","",ROW()-1)</f>
        <v/>
      </c>
      <c r="B373" s="6"/>
      <c r="C373" s="7"/>
      <c r="D373" s="7"/>
      <c r="E373" s="7"/>
      <c r="F373" s="7"/>
      <c r="G373" s="8"/>
      <c r="H373" s="6"/>
      <c r="I373" s="9"/>
      <c r="J373" s="10"/>
      <c r="K373" s="8"/>
      <c r="L373" s="6"/>
      <c r="M373" s="11" t="str">
        <f aca="true">IF($D373="","",IF($K373="Completed",IF($L373="",$H373,$L373),IF($H373="","",IF($H373&lt;TODAY(),TODAY(),$H373))))</f>
        <v/>
      </c>
      <c r="N373" s="12" t="str">
        <f aca="true">IF($D373="","",IF($K373="Completed","Completed",IF($H373="","No Due Date",IF($H373&lt;TODAY(),"Carried Forward",IF($H373=TODAY(),"Due Today","Upcoming")))))</f>
        <v/>
      </c>
      <c r="O373" s="5" t="str">
        <f aca="true">IF($D373="","",IF($I373="","",IF($K373="Completed","",$I373-TODAY())))</f>
        <v/>
      </c>
      <c r="P373" s="5" t="str">
        <f aca="true">IF($D373="","",IF($B373="","",IF($K373="Completed",IF($L373="","",$L373-$B373),TODAY()-$B373)))</f>
        <v/>
      </c>
      <c r="Q373" s="5" t="str">
        <f aca="false">IF($D373="","",IF($K373="Completed","",MAX($Q$1:$Q372)+1))</f>
        <v/>
      </c>
      <c r="R373" s="7"/>
    </row>
    <row r="374" customFormat="false" ht="15" hidden="false" customHeight="false" outlineLevel="0" collapsed="false">
      <c r="A374" s="5" t="str">
        <f aca="false">IF($D374="","",ROW()-1)</f>
        <v/>
      </c>
      <c r="B374" s="6"/>
      <c r="C374" s="7"/>
      <c r="D374" s="7"/>
      <c r="E374" s="7"/>
      <c r="F374" s="7"/>
      <c r="G374" s="8"/>
      <c r="H374" s="6"/>
      <c r="I374" s="9"/>
      <c r="J374" s="10"/>
      <c r="K374" s="8"/>
      <c r="L374" s="6"/>
      <c r="M374" s="11" t="str">
        <f aca="true">IF($D374="","",IF($K374="Completed",IF($L374="",$H374,$L374),IF($H374="","",IF($H374&lt;TODAY(),TODAY(),$H374))))</f>
        <v/>
      </c>
      <c r="N374" s="12" t="str">
        <f aca="true">IF($D374="","",IF($K374="Completed","Completed",IF($H374="","No Due Date",IF($H374&lt;TODAY(),"Carried Forward",IF($H374=TODAY(),"Due Today","Upcoming")))))</f>
        <v/>
      </c>
      <c r="O374" s="5" t="str">
        <f aca="true">IF($D374="","",IF($I374="","",IF($K374="Completed","",$I374-TODAY())))</f>
        <v/>
      </c>
      <c r="P374" s="5" t="str">
        <f aca="true">IF($D374="","",IF($B374="","",IF($K374="Completed",IF($L374="","",$L374-$B374),TODAY()-$B374)))</f>
        <v/>
      </c>
      <c r="Q374" s="5" t="str">
        <f aca="false">IF($D374="","",IF($K374="Completed","",MAX($Q$1:$Q373)+1))</f>
        <v/>
      </c>
      <c r="R374" s="7"/>
    </row>
    <row r="375" customFormat="false" ht="15" hidden="false" customHeight="false" outlineLevel="0" collapsed="false">
      <c r="A375" s="5" t="str">
        <f aca="false">IF($D375="","",ROW()-1)</f>
        <v/>
      </c>
      <c r="B375" s="6"/>
      <c r="C375" s="7"/>
      <c r="D375" s="7"/>
      <c r="E375" s="7"/>
      <c r="F375" s="7"/>
      <c r="G375" s="8"/>
      <c r="H375" s="6"/>
      <c r="I375" s="9"/>
      <c r="J375" s="10"/>
      <c r="K375" s="8"/>
      <c r="L375" s="6"/>
      <c r="M375" s="11" t="str">
        <f aca="true">IF($D375="","",IF($K375="Completed",IF($L375="",$H375,$L375),IF($H375="","",IF($H375&lt;TODAY(),TODAY(),$H375))))</f>
        <v/>
      </c>
      <c r="N375" s="12" t="str">
        <f aca="true">IF($D375="","",IF($K375="Completed","Completed",IF($H375="","No Due Date",IF($H375&lt;TODAY(),"Carried Forward",IF($H375=TODAY(),"Due Today","Upcoming")))))</f>
        <v/>
      </c>
      <c r="O375" s="5" t="str">
        <f aca="true">IF($D375="","",IF($I375="","",IF($K375="Completed","",$I375-TODAY())))</f>
        <v/>
      </c>
      <c r="P375" s="5" t="str">
        <f aca="true">IF($D375="","",IF($B375="","",IF($K375="Completed",IF($L375="","",$L375-$B375),TODAY()-$B375)))</f>
        <v/>
      </c>
      <c r="Q375" s="5" t="str">
        <f aca="false">IF($D375="","",IF($K375="Completed","",MAX($Q$1:$Q374)+1))</f>
        <v/>
      </c>
      <c r="R375" s="7"/>
    </row>
    <row r="376" customFormat="false" ht="15" hidden="false" customHeight="false" outlineLevel="0" collapsed="false">
      <c r="A376" s="5" t="str">
        <f aca="false">IF($D376="","",ROW()-1)</f>
        <v/>
      </c>
      <c r="B376" s="6"/>
      <c r="C376" s="7"/>
      <c r="D376" s="7"/>
      <c r="E376" s="7"/>
      <c r="F376" s="7"/>
      <c r="G376" s="8"/>
      <c r="H376" s="6"/>
      <c r="I376" s="9"/>
      <c r="J376" s="10"/>
      <c r="K376" s="8"/>
      <c r="L376" s="6"/>
      <c r="M376" s="11" t="str">
        <f aca="true">IF($D376="","",IF($K376="Completed",IF($L376="",$H376,$L376),IF($H376="","",IF($H376&lt;TODAY(),TODAY(),$H376))))</f>
        <v/>
      </c>
      <c r="N376" s="12" t="str">
        <f aca="true">IF($D376="","",IF($K376="Completed","Completed",IF($H376="","No Due Date",IF($H376&lt;TODAY(),"Carried Forward",IF($H376=TODAY(),"Due Today","Upcoming")))))</f>
        <v/>
      </c>
      <c r="O376" s="5" t="str">
        <f aca="true">IF($D376="","",IF($I376="","",IF($K376="Completed","",$I376-TODAY())))</f>
        <v/>
      </c>
      <c r="P376" s="5" t="str">
        <f aca="true">IF($D376="","",IF($B376="","",IF($K376="Completed",IF($L376="","",$L376-$B376),TODAY()-$B376)))</f>
        <v/>
      </c>
      <c r="Q376" s="5" t="str">
        <f aca="false">IF($D376="","",IF($K376="Completed","",MAX($Q$1:$Q375)+1))</f>
        <v/>
      </c>
      <c r="R376" s="7"/>
    </row>
    <row r="377" customFormat="false" ht="15" hidden="false" customHeight="false" outlineLevel="0" collapsed="false">
      <c r="A377" s="5" t="str">
        <f aca="false">IF($D377="","",ROW()-1)</f>
        <v/>
      </c>
      <c r="B377" s="6"/>
      <c r="C377" s="7"/>
      <c r="D377" s="7"/>
      <c r="E377" s="7"/>
      <c r="F377" s="7"/>
      <c r="G377" s="8"/>
      <c r="H377" s="6"/>
      <c r="I377" s="9"/>
      <c r="J377" s="10"/>
      <c r="K377" s="8"/>
      <c r="L377" s="6"/>
      <c r="M377" s="11" t="str">
        <f aca="true">IF($D377="","",IF($K377="Completed",IF($L377="",$H377,$L377),IF($H377="","",IF($H377&lt;TODAY(),TODAY(),$H377))))</f>
        <v/>
      </c>
      <c r="N377" s="12" t="str">
        <f aca="true">IF($D377="","",IF($K377="Completed","Completed",IF($H377="","No Due Date",IF($H377&lt;TODAY(),"Carried Forward",IF($H377=TODAY(),"Due Today","Upcoming")))))</f>
        <v/>
      </c>
      <c r="O377" s="5" t="str">
        <f aca="true">IF($D377="","",IF($I377="","",IF($K377="Completed","",$I377-TODAY())))</f>
        <v/>
      </c>
      <c r="P377" s="5" t="str">
        <f aca="true">IF($D377="","",IF($B377="","",IF($K377="Completed",IF($L377="","",$L377-$B377),TODAY()-$B377)))</f>
        <v/>
      </c>
      <c r="Q377" s="5" t="str">
        <f aca="false">IF($D377="","",IF($K377="Completed","",MAX($Q$1:$Q376)+1))</f>
        <v/>
      </c>
      <c r="R377" s="7"/>
    </row>
    <row r="378" customFormat="false" ht="15" hidden="false" customHeight="false" outlineLevel="0" collapsed="false">
      <c r="A378" s="5" t="str">
        <f aca="false">IF($D378="","",ROW()-1)</f>
        <v/>
      </c>
      <c r="B378" s="6"/>
      <c r="C378" s="7"/>
      <c r="D378" s="7"/>
      <c r="E378" s="7"/>
      <c r="F378" s="7"/>
      <c r="G378" s="8"/>
      <c r="H378" s="6"/>
      <c r="I378" s="9"/>
      <c r="J378" s="10"/>
      <c r="K378" s="8"/>
      <c r="L378" s="6"/>
      <c r="M378" s="11" t="str">
        <f aca="true">IF($D378="","",IF($K378="Completed",IF($L378="",$H378,$L378),IF($H378="","",IF($H378&lt;TODAY(),TODAY(),$H378))))</f>
        <v/>
      </c>
      <c r="N378" s="12" t="str">
        <f aca="true">IF($D378="","",IF($K378="Completed","Completed",IF($H378="","No Due Date",IF($H378&lt;TODAY(),"Carried Forward",IF($H378=TODAY(),"Due Today","Upcoming")))))</f>
        <v/>
      </c>
      <c r="O378" s="5" t="str">
        <f aca="true">IF($D378="","",IF($I378="","",IF($K378="Completed","",$I378-TODAY())))</f>
        <v/>
      </c>
      <c r="P378" s="5" t="str">
        <f aca="true">IF($D378="","",IF($B378="","",IF($K378="Completed",IF($L378="","",$L378-$B378),TODAY()-$B378)))</f>
        <v/>
      </c>
      <c r="Q378" s="5" t="str">
        <f aca="false">IF($D378="","",IF($K378="Completed","",MAX($Q$1:$Q377)+1))</f>
        <v/>
      </c>
      <c r="R378" s="7"/>
    </row>
    <row r="379" customFormat="false" ht="15" hidden="false" customHeight="false" outlineLevel="0" collapsed="false">
      <c r="A379" s="5" t="str">
        <f aca="false">IF($D379="","",ROW()-1)</f>
        <v/>
      </c>
      <c r="B379" s="6"/>
      <c r="C379" s="7"/>
      <c r="D379" s="7"/>
      <c r="E379" s="7"/>
      <c r="F379" s="7"/>
      <c r="G379" s="8"/>
      <c r="H379" s="6"/>
      <c r="I379" s="9"/>
      <c r="J379" s="10"/>
      <c r="K379" s="8"/>
      <c r="L379" s="6"/>
      <c r="M379" s="11" t="str">
        <f aca="true">IF($D379="","",IF($K379="Completed",IF($L379="",$H379,$L379),IF($H379="","",IF($H379&lt;TODAY(),TODAY(),$H379))))</f>
        <v/>
      </c>
      <c r="N379" s="12" t="str">
        <f aca="true">IF($D379="","",IF($K379="Completed","Completed",IF($H379="","No Due Date",IF($H379&lt;TODAY(),"Carried Forward",IF($H379=TODAY(),"Due Today","Upcoming")))))</f>
        <v/>
      </c>
      <c r="O379" s="5" t="str">
        <f aca="true">IF($D379="","",IF($I379="","",IF($K379="Completed","",$I379-TODAY())))</f>
        <v/>
      </c>
      <c r="P379" s="5" t="str">
        <f aca="true">IF($D379="","",IF($B379="","",IF($K379="Completed",IF($L379="","",$L379-$B379),TODAY()-$B379)))</f>
        <v/>
      </c>
      <c r="Q379" s="5" t="str">
        <f aca="false">IF($D379="","",IF($K379="Completed","",MAX($Q$1:$Q378)+1))</f>
        <v/>
      </c>
      <c r="R379" s="7"/>
    </row>
    <row r="380" customFormat="false" ht="15" hidden="false" customHeight="false" outlineLevel="0" collapsed="false">
      <c r="A380" s="5" t="str">
        <f aca="false">IF($D380="","",ROW()-1)</f>
        <v/>
      </c>
      <c r="B380" s="6"/>
      <c r="C380" s="7"/>
      <c r="D380" s="7"/>
      <c r="E380" s="7"/>
      <c r="F380" s="7"/>
      <c r="G380" s="8"/>
      <c r="H380" s="6"/>
      <c r="I380" s="9"/>
      <c r="J380" s="10"/>
      <c r="K380" s="8"/>
      <c r="L380" s="6"/>
      <c r="M380" s="11" t="str">
        <f aca="true">IF($D380="","",IF($K380="Completed",IF($L380="",$H380,$L380),IF($H380="","",IF($H380&lt;TODAY(),TODAY(),$H380))))</f>
        <v/>
      </c>
      <c r="N380" s="12" t="str">
        <f aca="true">IF($D380="","",IF($K380="Completed","Completed",IF($H380="","No Due Date",IF($H380&lt;TODAY(),"Carried Forward",IF($H380=TODAY(),"Due Today","Upcoming")))))</f>
        <v/>
      </c>
      <c r="O380" s="5" t="str">
        <f aca="true">IF($D380="","",IF($I380="","",IF($K380="Completed","",$I380-TODAY())))</f>
        <v/>
      </c>
      <c r="P380" s="5" t="str">
        <f aca="true">IF($D380="","",IF($B380="","",IF($K380="Completed",IF($L380="","",$L380-$B380),TODAY()-$B380)))</f>
        <v/>
      </c>
      <c r="Q380" s="5" t="str">
        <f aca="false">IF($D380="","",IF($K380="Completed","",MAX($Q$1:$Q379)+1))</f>
        <v/>
      </c>
      <c r="R380" s="7"/>
    </row>
    <row r="381" customFormat="false" ht="15" hidden="false" customHeight="false" outlineLevel="0" collapsed="false">
      <c r="A381" s="5" t="str">
        <f aca="false">IF($D381="","",ROW()-1)</f>
        <v/>
      </c>
      <c r="B381" s="6"/>
      <c r="C381" s="7"/>
      <c r="D381" s="7"/>
      <c r="E381" s="7"/>
      <c r="F381" s="7"/>
      <c r="G381" s="8"/>
      <c r="H381" s="6"/>
      <c r="I381" s="9"/>
      <c r="J381" s="10"/>
      <c r="K381" s="8"/>
      <c r="L381" s="6"/>
      <c r="M381" s="11" t="str">
        <f aca="true">IF($D381="","",IF($K381="Completed",IF($L381="",$H381,$L381),IF($H381="","",IF($H381&lt;TODAY(),TODAY(),$H381))))</f>
        <v/>
      </c>
      <c r="N381" s="12" t="str">
        <f aca="true">IF($D381="","",IF($K381="Completed","Completed",IF($H381="","No Due Date",IF($H381&lt;TODAY(),"Carried Forward",IF($H381=TODAY(),"Due Today","Upcoming")))))</f>
        <v/>
      </c>
      <c r="O381" s="5" t="str">
        <f aca="true">IF($D381="","",IF($I381="","",IF($K381="Completed","",$I381-TODAY())))</f>
        <v/>
      </c>
      <c r="P381" s="5" t="str">
        <f aca="true">IF($D381="","",IF($B381="","",IF($K381="Completed",IF($L381="","",$L381-$B381),TODAY()-$B381)))</f>
        <v/>
      </c>
      <c r="Q381" s="5" t="str">
        <f aca="false">IF($D381="","",IF($K381="Completed","",MAX($Q$1:$Q380)+1))</f>
        <v/>
      </c>
      <c r="R381" s="7"/>
    </row>
    <row r="382" customFormat="false" ht="15" hidden="false" customHeight="false" outlineLevel="0" collapsed="false">
      <c r="A382" s="5" t="str">
        <f aca="false">IF($D382="","",ROW()-1)</f>
        <v/>
      </c>
      <c r="B382" s="6"/>
      <c r="C382" s="7"/>
      <c r="D382" s="7"/>
      <c r="E382" s="7"/>
      <c r="F382" s="7"/>
      <c r="G382" s="8"/>
      <c r="H382" s="6"/>
      <c r="I382" s="9"/>
      <c r="J382" s="10"/>
      <c r="K382" s="8"/>
      <c r="L382" s="6"/>
      <c r="M382" s="11" t="str">
        <f aca="true">IF($D382="","",IF($K382="Completed",IF($L382="",$H382,$L382),IF($H382="","",IF($H382&lt;TODAY(),TODAY(),$H382))))</f>
        <v/>
      </c>
      <c r="N382" s="12" t="str">
        <f aca="true">IF($D382="","",IF($K382="Completed","Completed",IF($H382="","No Due Date",IF($H382&lt;TODAY(),"Carried Forward",IF($H382=TODAY(),"Due Today","Upcoming")))))</f>
        <v/>
      </c>
      <c r="O382" s="5" t="str">
        <f aca="true">IF($D382="","",IF($I382="","",IF($K382="Completed","",$I382-TODAY())))</f>
        <v/>
      </c>
      <c r="P382" s="5" t="str">
        <f aca="true">IF($D382="","",IF($B382="","",IF($K382="Completed",IF($L382="","",$L382-$B382),TODAY()-$B382)))</f>
        <v/>
      </c>
      <c r="Q382" s="5" t="str">
        <f aca="false">IF($D382="","",IF($K382="Completed","",MAX($Q$1:$Q381)+1))</f>
        <v/>
      </c>
      <c r="R382" s="7"/>
    </row>
    <row r="383" customFormat="false" ht="15" hidden="false" customHeight="false" outlineLevel="0" collapsed="false">
      <c r="A383" s="5" t="str">
        <f aca="false">IF($D383="","",ROW()-1)</f>
        <v/>
      </c>
      <c r="B383" s="6"/>
      <c r="C383" s="7"/>
      <c r="D383" s="7"/>
      <c r="E383" s="7"/>
      <c r="F383" s="7"/>
      <c r="G383" s="8"/>
      <c r="H383" s="6"/>
      <c r="I383" s="9"/>
      <c r="J383" s="10"/>
      <c r="K383" s="8"/>
      <c r="L383" s="6"/>
      <c r="M383" s="11" t="str">
        <f aca="true">IF($D383="","",IF($K383="Completed",IF($L383="",$H383,$L383),IF($H383="","",IF($H383&lt;TODAY(),TODAY(),$H383))))</f>
        <v/>
      </c>
      <c r="N383" s="12" t="str">
        <f aca="true">IF($D383="","",IF($K383="Completed","Completed",IF($H383="","No Due Date",IF($H383&lt;TODAY(),"Carried Forward",IF($H383=TODAY(),"Due Today","Upcoming")))))</f>
        <v/>
      </c>
      <c r="O383" s="5" t="str">
        <f aca="true">IF($D383="","",IF($I383="","",IF($K383="Completed","",$I383-TODAY())))</f>
        <v/>
      </c>
      <c r="P383" s="5" t="str">
        <f aca="true">IF($D383="","",IF($B383="","",IF($K383="Completed",IF($L383="","",$L383-$B383),TODAY()-$B383)))</f>
        <v/>
      </c>
      <c r="Q383" s="5" t="str">
        <f aca="false">IF($D383="","",IF($K383="Completed","",MAX($Q$1:$Q382)+1))</f>
        <v/>
      </c>
      <c r="R383" s="7"/>
    </row>
    <row r="384" customFormat="false" ht="15" hidden="false" customHeight="false" outlineLevel="0" collapsed="false">
      <c r="A384" s="5" t="str">
        <f aca="false">IF($D384="","",ROW()-1)</f>
        <v/>
      </c>
      <c r="B384" s="6"/>
      <c r="C384" s="7"/>
      <c r="D384" s="7"/>
      <c r="E384" s="7"/>
      <c r="F384" s="7"/>
      <c r="G384" s="8"/>
      <c r="H384" s="6"/>
      <c r="I384" s="9"/>
      <c r="J384" s="10"/>
      <c r="K384" s="8"/>
      <c r="L384" s="6"/>
      <c r="M384" s="11" t="str">
        <f aca="true">IF($D384="","",IF($K384="Completed",IF($L384="",$H384,$L384),IF($H384="","",IF($H384&lt;TODAY(),TODAY(),$H384))))</f>
        <v/>
      </c>
      <c r="N384" s="12" t="str">
        <f aca="true">IF($D384="","",IF($K384="Completed","Completed",IF($H384="","No Due Date",IF($H384&lt;TODAY(),"Carried Forward",IF($H384=TODAY(),"Due Today","Upcoming")))))</f>
        <v/>
      </c>
      <c r="O384" s="5" t="str">
        <f aca="true">IF($D384="","",IF($I384="","",IF($K384="Completed","",$I384-TODAY())))</f>
        <v/>
      </c>
      <c r="P384" s="5" t="str">
        <f aca="true">IF($D384="","",IF($B384="","",IF($K384="Completed",IF($L384="","",$L384-$B384),TODAY()-$B384)))</f>
        <v/>
      </c>
      <c r="Q384" s="5" t="str">
        <f aca="false">IF($D384="","",IF($K384="Completed","",MAX($Q$1:$Q383)+1))</f>
        <v/>
      </c>
      <c r="R384" s="7"/>
    </row>
    <row r="385" customFormat="false" ht="15" hidden="false" customHeight="false" outlineLevel="0" collapsed="false">
      <c r="A385" s="5" t="str">
        <f aca="false">IF($D385="","",ROW()-1)</f>
        <v/>
      </c>
      <c r="B385" s="6"/>
      <c r="C385" s="7"/>
      <c r="D385" s="7"/>
      <c r="E385" s="7"/>
      <c r="F385" s="7"/>
      <c r="G385" s="8"/>
      <c r="H385" s="6"/>
      <c r="I385" s="9"/>
      <c r="J385" s="10"/>
      <c r="K385" s="8"/>
      <c r="L385" s="6"/>
      <c r="M385" s="11" t="str">
        <f aca="true">IF($D385="","",IF($K385="Completed",IF($L385="",$H385,$L385),IF($H385="","",IF($H385&lt;TODAY(),TODAY(),$H385))))</f>
        <v/>
      </c>
      <c r="N385" s="12" t="str">
        <f aca="true">IF($D385="","",IF($K385="Completed","Completed",IF($H385="","No Due Date",IF($H385&lt;TODAY(),"Carried Forward",IF($H385=TODAY(),"Due Today","Upcoming")))))</f>
        <v/>
      </c>
      <c r="O385" s="5" t="str">
        <f aca="true">IF($D385="","",IF($I385="","",IF($K385="Completed","",$I385-TODAY())))</f>
        <v/>
      </c>
      <c r="P385" s="5" t="str">
        <f aca="true">IF($D385="","",IF($B385="","",IF($K385="Completed",IF($L385="","",$L385-$B385),TODAY()-$B385)))</f>
        <v/>
      </c>
      <c r="Q385" s="5" t="str">
        <f aca="false">IF($D385="","",IF($K385="Completed","",MAX($Q$1:$Q384)+1))</f>
        <v/>
      </c>
      <c r="R385" s="7"/>
    </row>
    <row r="386" customFormat="false" ht="15" hidden="false" customHeight="false" outlineLevel="0" collapsed="false">
      <c r="A386" s="5" t="str">
        <f aca="false">IF($D386="","",ROW()-1)</f>
        <v/>
      </c>
      <c r="B386" s="6"/>
      <c r="C386" s="7"/>
      <c r="D386" s="7"/>
      <c r="E386" s="7"/>
      <c r="F386" s="7"/>
      <c r="G386" s="8"/>
      <c r="H386" s="6"/>
      <c r="I386" s="9"/>
      <c r="J386" s="10"/>
      <c r="K386" s="8"/>
      <c r="L386" s="6"/>
      <c r="M386" s="11" t="str">
        <f aca="true">IF($D386="","",IF($K386="Completed",IF($L386="",$H386,$L386),IF($H386="","",IF($H386&lt;TODAY(),TODAY(),$H386))))</f>
        <v/>
      </c>
      <c r="N386" s="12" t="str">
        <f aca="true">IF($D386="","",IF($K386="Completed","Completed",IF($H386="","No Due Date",IF($H386&lt;TODAY(),"Carried Forward",IF($H386=TODAY(),"Due Today","Upcoming")))))</f>
        <v/>
      </c>
      <c r="O386" s="5" t="str">
        <f aca="true">IF($D386="","",IF($I386="","",IF($K386="Completed","",$I386-TODAY())))</f>
        <v/>
      </c>
      <c r="P386" s="5" t="str">
        <f aca="true">IF($D386="","",IF($B386="","",IF($K386="Completed",IF($L386="","",$L386-$B386),TODAY()-$B386)))</f>
        <v/>
      </c>
      <c r="Q386" s="5" t="str">
        <f aca="false">IF($D386="","",IF($K386="Completed","",MAX($Q$1:$Q385)+1))</f>
        <v/>
      </c>
      <c r="R386" s="7"/>
    </row>
    <row r="387" customFormat="false" ht="15" hidden="false" customHeight="false" outlineLevel="0" collapsed="false">
      <c r="A387" s="5" t="str">
        <f aca="false">IF($D387="","",ROW()-1)</f>
        <v/>
      </c>
      <c r="B387" s="6"/>
      <c r="C387" s="7"/>
      <c r="D387" s="7"/>
      <c r="E387" s="7"/>
      <c r="F387" s="7"/>
      <c r="G387" s="8"/>
      <c r="H387" s="6"/>
      <c r="I387" s="9"/>
      <c r="J387" s="10"/>
      <c r="K387" s="8"/>
      <c r="L387" s="6"/>
      <c r="M387" s="11" t="str">
        <f aca="true">IF($D387="","",IF($K387="Completed",IF($L387="",$H387,$L387),IF($H387="","",IF($H387&lt;TODAY(),TODAY(),$H387))))</f>
        <v/>
      </c>
      <c r="N387" s="12" t="str">
        <f aca="true">IF($D387="","",IF($K387="Completed","Completed",IF($H387="","No Due Date",IF($H387&lt;TODAY(),"Carried Forward",IF($H387=TODAY(),"Due Today","Upcoming")))))</f>
        <v/>
      </c>
      <c r="O387" s="5" t="str">
        <f aca="true">IF($D387="","",IF($I387="","",IF($K387="Completed","",$I387-TODAY())))</f>
        <v/>
      </c>
      <c r="P387" s="5" t="str">
        <f aca="true">IF($D387="","",IF($B387="","",IF($K387="Completed",IF($L387="","",$L387-$B387),TODAY()-$B387)))</f>
        <v/>
      </c>
      <c r="Q387" s="5" t="str">
        <f aca="false">IF($D387="","",IF($K387="Completed","",MAX($Q$1:$Q386)+1))</f>
        <v/>
      </c>
      <c r="R387" s="7"/>
    </row>
    <row r="388" customFormat="false" ht="15" hidden="false" customHeight="false" outlineLevel="0" collapsed="false">
      <c r="A388" s="5" t="str">
        <f aca="false">IF($D388="","",ROW()-1)</f>
        <v/>
      </c>
      <c r="B388" s="6"/>
      <c r="C388" s="7"/>
      <c r="D388" s="7"/>
      <c r="E388" s="7"/>
      <c r="F388" s="7"/>
      <c r="G388" s="8"/>
      <c r="H388" s="6"/>
      <c r="I388" s="9"/>
      <c r="J388" s="10"/>
      <c r="K388" s="8"/>
      <c r="L388" s="6"/>
      <c r="M388" s="11" t="str">
        <f aca="true">IF($D388="","",IF($K388="Completed",IF($L388="",$H388,$L388),IF($H388="","",IF($H388&lt;TODAY(),TODAY(),$H388))))</f>
        <v/>
      </c>
      <c r="N388" s="12" t="str">
        <f aca="true">IF($D388="","",IF($K388="Completed","Completed",IF($H388="","No Due Date",IF($H388&lt;TODAY(),"Carried Forward",IF($H388=TODAY(),"Due Today","Upcoming")))))</f>
        <v/>
      </c>
      <c r="O388" s="5" t="str">
        <f aca="true">IF($D388="","",IF($I388="","",IF($K388="Completed","",$I388-TODAY())))</f>
        <v/>
      </c>
      <c r="P388" s="5" t="str">
        <f aca="true">IF($D388="","",IF($B388="","",IF($K388="Completed",IF($L388="","",$L388-$B388),TODAY()-$B388)))</f>
        <v/>
      </c>
      <c r="Q388" s="5" t="str">
        <f aca="false">IF($D388="","",IF($K388="Completed","",MAX($Q$1:$Q387)+1))</f>
        <v/>
      </c>
      <c r="R388" s="7"/>
    </row>
    <row r="389" customFormat="false" ht="15" hidden="false" customHeight="false" outlineLevel="0" collapsed="false">
      <c r="A389" s="5" t="str">
        <f aca="false">IF($D389="","",ROW()-1)</f>
        <v/>
      </c>
      <c r="B389" s="6"/>
      <c r="C389" s="7"/>
      <c r="D389" s="7"/>
      <c r="E389" s="7"/>
      <c r="F389" s="7"/>
      <c r="G389" s="8"/>
      <c r="H389" s="6"/>
      <c r="I389" s="9"/>
      <c r="J389" s="10"/>
      <c r="K389" s="8"/>
      <c r="L389" s="6"/>
      <c r="M389" s="11" t="str">
        <f aca="true">IF($D389="","",IF($K389="Completed",IF($L389="",$H389,$L389),IF($H389="","",IF($H389&lt;TODAY(),TODAY(),$H389))))</f>
        <v/>
      </c>
      <c r="N389" s="12" t="str">
        <f aca="true">IF($D389="","",IF($K389="Completed","Completed",IF($H389="","No Due Date",IF($H389&lt;TODAY(),"Carried Forward",IF($H389=TODAY(),"Due Today","Upcoming")))))</f>
        <v/>
      </c>
      <c r="O389" s="5" t="str">
        <f aca="true">IF($D389="","",IF($I389="","",IF($K389="Completed","",$I389-TODAY())))</f>
        <v/>
      </c>
      <c r="P389" s="5" t="str">
        <f aca="true">IF($D389="","",IF($B389="","",IF($K389="Completed",IF($L389="","",$L389-$B389),TODAY()-$B389)))</f>
        <v/>
      </c>
      <c r="Q389" s="5" t="str">
        <f aca="false">IF($D389="","",IF($K389="Completed","",MAX($Q$1:$Q388)+1))</f>
        <v/>
      </c>
      <c r="R389" s="7"/>
    </row>
    <row r="390" customFormat="false" ht="15" hidden="false" customHeight="false" outlineLevel="0" collapsed="false">
      <c r="A390" s="5" t="str">
        <f aca="false">IF($D390="","",ROW()-1)</f>
        <v/>
      </c>
      <c r="B390" s="6"/>
      <c r="C390" s="7"/>
      <c r="D390" s="7"/>
      <c r="E390" s="7"/>
      <c r="F390" s="7"/>
      <c r="G390" s="8"/>
      <c r="H390" s="6"/>
      <c r="I390" s="9"/>
      <c r="J390" s="10"/>
      <c r="K390" s="8"/>
      <c r="L390" s="6"/>
      <c r="M390" s="11" t="str">
        <f aca="true">IF($D390="","",IF($K390="Completed",IF($L390="",$H390,$L390),IF($H390="","",IF($H390&lt;TODAY(),TODAY(),$H390))))</f>
        <v/>
      </c>
      <c r="N390" s="12" t="str">
        <f aca="true">IF($D390="","",IF($K390="Completed","Completed",IF($H390="","No Due Date",IF($H390&lt;TODAY(),"Carried Forward",IF($H390=TODAY(),"Due Today","Upcoming")))))</f>
        <v/>
      </c>
      <c r="O390" s="5" t="str">
        <f aca="true">IF($D390="","",IF($I390="","",IF($K390="Completed","",$I390-TODAY())))</f>
        <v/>
      </c>
      <c r="P390" s="5" t="str">
        <f aca="true">IF($D390="","",IF($B390="","",IF($K390="Completed",IF($L390="","",$L390-$B390),TODAY()-$B390)))</f>
        <v/>
      </c>
      <c r="Q390" s="5" t="str">
        <f aca="false">IF($D390="","",IF($K390="Completed","",MAX($Q$1:$Q389)+1))</f>
        <v/>
      </c>
      <c r="R390" s="7"/>
    </row>
    <row r="391" customFormat="false" ht="15" hidden="false" customHeight="false" outlineLevel="0" collapsed="false">
      <c r="A391" s="5" t="str">
        <f aca="false">IF($D391="","",ROW()-1)</f>
        <v/>
      </c>
      <c r="B391" s="6"/>
      <c r="C391" s="7"/>
      <c r="D391" s="7"/>
      <c r="E391" s="7"/>
      <c r="F391" s="7"/>
      <c r="G391" s="8"/>
      <c r="H391" s="6"/>
      <c r="I391" s="9"/>
      <c r="J391" s="10"/>
      <c r="K391" s="8"/>
      <c r="L391" s="6"/>
      <c r="M391" s="11" t="str">
        <f aca="true">IF($D391="","",IF($K391="Completed",IF($L391="",$H391,$L391),IF($H391="","",IF($H391&lt;TODAY(),TODAY(),$H391))))</f>
        <v/>
      </c>
      <c r="N391" s="12" t="str">
        <f aca="true">IF($D391="","",IF($K391="Completed","Completed",IF($H391="","No Due Date",IF($H391&lt;TODAY(),"Carried Forward",IF($H391=TODAY(),"Due Today","Upcoming")))))</f>
        <v/>
      </c>
      <c r="O391" s="5" t="str">
        <f aca="true">IF($D391="","",IF($I391="","",IF($K391="Completed","",$I391-TODAY())))</f>
        <v/>
      </c>
      <c r="P391" s="5" t="str">
        <f aca="true">IF($D391="","",IF($B391="","",IF($K391="Completed",IF($L391="","",$L391-$B391),TODAY()-$B391)))</f>
        <v/>
      </c>
      <c r="Q391" s="5" t="str">
        <f aca="false">IF($D391="","",IF($K391="Completed","",MAX($Q$1:$Q390)+1))</f>
        <v/>
      </c>
      <c r="R391" s="7"/>
    </row>
    <row r="392" customFormat="false" ht="15" hidden="false" customHeight="false" outlineLevel="0" collapsed="false">
      <c r="A392" s="5" t="str">
        <f aca="false">IF($D392="","",ROW()-1)</f>
        <v/>
      </c>
      <c r="B392" s="6"/>
      <c r="C392" s="7"/>
      <c r="D392" s="7"/>
      <c r="E392" s="7"/>
      <c r="F392" s="7"/>
      <c r="G392" s="8"/>
      <c r="H392" s="6"/>
      <c r="I392" s="9"/>
      <c r="J392" s="10"/>
      <c r="K392" s="8"/>
      <c r="L392" s="6"/>
      <c r="M392" s="11" t="str">
        <f aca="true">IF($D392="","",IF($K392="Completed",IF($L392="",$H392,$L392),IF($H392="","",IF($H392&lt;TODAY(),TODAY(),$H392))))</f>
        <v/>
      </c>
      <c r="N392" s="12" t="str">
        <f aca="true">IF($D392="","",IF($K392="Completed","Completed",IF($H392="","No Due Date",IF($H392&lt;TODAY(),"Carried Forward",IF($H392=TODAY(),"Due Today","Upcoming")))))</f>
        <v/>
      </c>
      <c r="O392" s="5" t="str">
        <f aca="true">IF($D392="","",IF($I392="","",IF($K392="Completed","",$I392-TODAY())))</f>
        <v/>
      </c>
      <c r="P392" s="5" t="str">
        <f aca="true">IF($D392="","",IF($B392="","",IF($K392="Completed",IF($L392="","",$L392-$B392),TODAY()-$B392)))</f>
        <v/>
      </c>
      <c r="Q392" s="5" t="str">
        <f aca="false">IF($D392="","",IF($K392="Completed","",MAX($Q$1:$Q391)+1))</f>
        <v/>
      </c>
      <c r="R392" s="7"/>
    </row>
    <row r="393" customFormat="false" ht="15" hidden="false" customHeight="false" outlineLevel="0" collapsed="false">
      <c r="A393" s="5" t="str">
        <f aca="false">IF($D393="","",ROW()-1)</f>
        <v/>
      </c>
      <c r="B393" s="6"/>
      <c r="C393" s="7"/>
      <c r="D393" s="7"/>
      <c r="E393" s="7"/>
      <c r="F393" s="7"/>
      <c r="G393" s="8"/>
      <c r="H393" s="6"/>
      <c r="I393" s="9"/>
      <c r="J393" s="10"/>
      <c r="K393" s="8"/>
      <c r="L393" s="6"/>
      <c r="M393" s="11" t="str">
        <f aca="true">IF($D393="","",IF($K393="Completed",IF($L393="",$H393,$L393),IF($H393="","",IF($H393&lt;TODAY(),TODAY(),$H393))))</f>
        <v/>
      </c>
      <c r="N393" s="12" t="str">
        <f aca="true">IF($D393="","",IF($K393="Completed","Completed",IF($H393="","No Due Date",IF($H393&lt;TODAY(),"Carried Forward",IF($H393=TODAY(),"Due Today","Upcoming")))))</f>
        <v/>
      </c>
      <c r="O393" s="5" t="str">
        <f aca="true">IF($D393="","",IF($I393="","",IF($K393="Completed","",$I393-TODAY())))</f>
        <v/>
      </c>
      <c r="P393" s="5" t="str">
        <f aca="true">IF($D393="","",IF($B393="","",IF($K393="Completed",IF($L393="","",$L393-$B393),TODAY()-$B393)))</f>
        <v/>
      </c>
      <c r="Q393" s="5" t="str">
        <f aca="false">IF($D393="","",IF($K393="Completed","",MAX($Q$1:$Q392)+1))</f>
        <v/>
      </c>
      <c r="R393" s="7"/>
    </row>
    <row r="394" customFormat="false" ht="15" hidden="false" customHeight="false" outlineLevel="0" collapsed="false">
      <c r="A394" s="5" t="str">
        <f aca="false">IF($D394="","",ROW()-1)</f>
        <v/>
      </c>
      <c r="B394" s="6"/>
      <c r="C394" s="7"/>
      <c r="D394" s="7"/>
      <c r="E394" s="7"/>
      <c r="F394" s="7"/>
      <c r="G394" s="8"/>
      <c r="H394" s="6"/>
      <c r="I394" s="9"/>
      <c r="J394" s="10"/>
      <c r="K394" s="8"/>
      <c r="L394" s="6"/>
      <c r="M394" s="11" t="str">
        <f aca="true">IF($D394="","",IF($K394="Completed",IF($L394="",$H394,$L394),IF($H394="","",IF($H394&lt;TODAY(),TODAY(),$H394))))</f>
        <v/>
      </c>
      <c r="N394" s="12" t="str">
        <f aca="true">IF($D394="","",IF($K394="Completed","Completed",IF($H394="","No Due Date",IF($H394&lt;TODAY(),"Carried Forward",IF($H394=TODAY(),"Due Today","Upcoming")))))</f>
        <v/>
      </c>
      <c r="O394" s="5" t="str">
        <f aca="true">IF($D394="","",IF($I394="","",IF($K394="Completed","",$I394-TODAY())))</f>
        <v/>
      </c>
      <c r="P394" s="5" t="str">
        <f aca="true">IF($D394="","",IF($B394="","",IF($K394="Completed",IF($L394="","",$L394-$B394),TODAY()-$B394)))</f>
        <v/>
      </c>
      <c r="Q394" s="5" t="str">
        <f aca="false">IF($D394="","",IF($K394="Completed","",MAX($Q$1:$Q393)+1))</f>
        <v/>
      </c>
      <c r="R394" s="7"/>
    </row>
    <row r="395" customFormat="false" ht="15" hidden="false" customHeight="false" outlineLevel="0" collapsed="false">
      <c r="A395" s="5" t="str">
        <f aca="false">IF($D395="","",ROW()-1)</f>
        <v/>
      </c>
      <c r="B395" s="6"/>
      <c r="C395" s="7"/>
      <c r="D395" s="7"/>
      <c r="E395" s="7"/>
      <c r="F395" s="7"/>
      <c r="G395" s="8"/>
      <c r="H395" s="6"/>
      <c r="I395" s="9"/>
      <c r="J395" s="10"/>
      <c r="K395" s="8"/>
      <c r="L395" s="6"/>
      <c r="M395" s="11" t="str">
        <f aca="true">IF($D395="","",IF($K395="Completed",IF($L395="",$H395,$L395),IF($H395="","",IF($H395&lt;TODAY(),TODAY(),$H395))))</f>
        <v/>
      </c>
      <c r="N395" s="12" t="str">
        <f aca="true">IF($D395="","",IF($K395="Completed","Completed",IF($H395="","No Due Date",IF($H395&lt;TODAY(),"Carried Forward",IF($H395=TODAY(),"Due Today","Upcoming")))))</f>
        <v/>
      </c>
      <c r="O395" s="5" t="str">
        <f aca="true">IF($D395="","",IF($I395="","",IF($K395="Completed","",$I395-TODAY())))</f>
        <v/>
      </c>
      <c r="P395" s="5" t="str">
        <f aca="true">IF($D395="","",IF($B395="","",IF($K395="Completed",IF($L395="","",$L395-$B395),TODAY()-$B395)))</f>
        <v/>
      </c>
      <c r="Q395" s="5" t="str">
        <f aca="false">IF($D395="","",IF($K395="Completed","",MAX($Q$1:$Q394)+1))</f>
        <v/>
      </c>
      <c r="R395" s="7"/>
    </row>
    <row r="396" customFormat="false" ht="15" hidden="false" customHeight="false" outlineLevel="0" collapsed="false">
      <c r="A396" s="5" t="str">
        <f aca="false">IF($D396="","",ROW()-1)</f>
        <v/>
      </c>
      <c r="B396" s="6"/>
      <c r="C396" s="7"/>
      <c r="D396" s="7"/>
      <c r="E396" s="7"/>
      <c r="F396" s="7"/>
      <c r="G396" s="8"/>
      <c r="H396" s="6"/>
      <c r="I396" s="9"/>
      <c r="J396" s="10"/>
      <c r="K396" s="8"/>
      <c r="L396" s="6"/>
      <c r="M396" s="11" t="str">
        <f aca="true">IF($D396="","",IF($K396="Completed",IF($L396="",$H396,$L396),IF($H396="","",IF($H396&lt;TODAY(),TODAY(),$H396))))</f>
        <v/>
      </c>
      <c r="N396" s="12" t="str">
        <f aca="true">IF($D396="","",IF($K396="Completed","Completed",IF($H396="","No Due Date",IF($H396&lt;TODAY(),"Carried Forward",IF($H396=TODAY(),"Due Today","Upcoming")))))</f>
        <v/>
      </c>
      <c r="O396" s="5" t="str">
        <f aca="true">IF($D396="","",IF($I396="","",IF($K396="Completed","",$I396-TODAY())))</f>
        <v/>
      </c>
      <c r="P396" s="5" t="str">
        <f aca="true">IF($D396="","",IF($B396="","",IF($K396="Completed",IF($L396="","",$L396-$B396),TODAY()-$B396)))</f>
        <v/>
      </c>
      <c r="Q396" s="5" t="str">
        <f aca="false">IF($D396="","",IF($K396="Completed","",MAX($Q$1:$Q395)+1))</f>
        <v/>
      </c>
      <c r="R396" s="7"/>
    </row>
    <row r="397" customFormat="false" ht="15" hidden="false" customHeight="false" outlineLevel="0" collapsed="false">
      <c r="A397" s="5" t="str">
        <f aca="false">IF($D397="","",ROW()-1)</f>
        <v/>
      </c>
      <c r="B397" s="6"/>
      <c r="C397" s="7"/>
      <c r="D397" s="7"/>
      <c r="E397" s="7"/>
      <c r="F397" s="7"/>
      <c r="G397" s="8"/>
      <c r="H397" s="6"/>
      <c r="I397" s="9"/>
      <c r="J397" s="10"/>
      <c r="K397" s="8"/>
      <c r="L397" s="6"/>
      <c r="M397" s="11" t="str">
        <f aca="true">IF($D397="","",IF($K397="Completed",IF($L397="",$H397,$L397),IF($H397="","",IF($H397&lt;TODAY(),TODAY(),$H397))))</f>
        <v/>
      </c>
      <c r="N397" s="12" t="str">
        <f aca="true">IF($D397="","",IF($K397="Completed","Completed",IF($H397="","No Due Date",IF($H397&lt;TODAY(),"Carried Forward",IF($H397=TODAY(),"Due Today","Upcoming")))))</f>
        <v/>
      </c>
      <c r="O397" s="5" t="str">
        <f aca="true">IF($D397="","",IF($I397="","",IF($K397="Completed","",$I397-TODAY())))</f>
        <v/>
      </c>
      <c r="P397" s="5" t="str">
        <f aca="true">IF($D397="","",IF($B397="","",IF($K397="Completed",IF($L397="","",$L397-$B397),TODAY()-$B397)))</f>
        <v/>
      </c>
      <c r="Q397" s="5" t="str">
        <f aca="false">IF($D397="","",IF($K397="Completed","",MAX($Q$1:$Q396)+1))</f>
        <v/>
      </c>
      <c r="R397" s="7"/>
    </row>
    <row r="398" customFormat="false" ht="15" hidden="false" customHeight="false" outlineLevel="0" collapsed="false">
      <c r="A398" s="5" t="str">
        <f aca="false">IF($D398="","",ROW()-1)</f>
        <v/>
      </c>
      <c r="B398" s="6"/>
      <c r="C398" s="7"/>
      <c r="D398" s="7"/>
      <c r="E398" s="7"/>
      <c r="F398" s="7"/>
      <c r="G398" s="8"/>
      <c r="H398" s="6"/>
      <c r="I398" s="9"/>
      <c r="J398" s="10"/>
      <c r="K398" s="8"/>
      <c r="L398" s="6"/>
      <c r="M398" s="11" t="str">
        <f aca="true">IF($D398="","",IF($K398="Completed",IF($L398="",$H398,$L398),IF($H398="","",IF($H398&lt;TODAY(),TODAY(),$H398))))</f>
        <v/>
      </c>
      <c r="N398" s="12" t="str">
        <f aca="true">IF($D398="","",IF($K398="Completed","Completed",IF($H398="","No Due Date",IF($H398&lt;TODAY(),"Carried Forward",IF($H398=TODAY(),"Due Today","Upcoming")))))</f>
        <v/>
      </c>
      <c r="O398" s="5" t="str">
        <f aca="true">IF($D398="","",IF($I398="","",IF($K398="Completed","",$I398-TODAY())))</f>
        <v/>
      </c>
      <c r="P398" s="5" t="str">
        <f aca="true">IF($D398="","",IF($B398="","",IF($K398="Completed",IF($L398="","",$L398-$B398),TODAY()-$B398)))</f>
        <v/>
      </c>
      <c r="Q398" s="5" t="str">
        <f aca="false">IF($D398="","",IF($K398="Completed","",MAX($Q$1:$Q397)+1))</f>
        <v/>
      </c>
      <c r="R398" s="7"/>
    </row>
    <row r="399" customFormat="false" ht="15" hidden="false" customHeight="false" outlineLevel="0" collapsed="false">
      <c r="A399" s="5" t="str">
        <f aca="false">IF($D399="","",ROW()-1)</f>
        <v/>
      </c>
      <c r="B399" s="6"/>
      <c r="C399" s="7"/>
      <c r="D399" s="7"/>
      <c r="E399" s="7"/>
      <c r="F399" s="7"/>
      <c r="G399" s="8"/>
      <c r="H399" s="6"/>
      <c r="I399" s="9"/>
      <c r="J399" s="10"/>
      <c r="K399" s="8"/>
      <c r="L399" s="6"/>
      <c r="M399" s="11" t="str">
        <f aca="true">IF($D399="","",IF($K399="Completed",IF($L399="",$H399,$L399),IF($H399="","",IF($H399&lt;TODAY(),TODAY(),$H399))))</f>
        <v/>
      </c>
      <c r="N399" s="12" t="str">
        <f aca="true">IF($D399="","",IF($K399="Completed","Completed",IF($H399="","No Due Date",IF($H399&lt;TODAY(),"Carried Forward",IF($H399=TODAY(),"Due Today","Upcoming")))))</f>
        <v/>
      </c>
      <c r="O399" s="5" t="str">
        <f aca="true">IF($D399="","",IF($I399="","",IF($K399="Completed","",$I399-TODAY())))</f>
        <v/>
      </c>
      <c r="P399" s="5" t="str">
        <f aca="true">IF($D399="","",IF($B399="","",IF($K399="Completed",IF($L399="","",$L399-$B399),TODAY()-$B399)))</f>
        <v/>
      </c>
      <c r="Q399" s="5" t="str">
        <f aca="false">IF($D399="","",IF($K399="Completed","",MAX($Q$1:$Q398)+1))</f>
        <v/>
      </c>
      <c r="R399" s="7"/>
    </row>
    <row r="400" customFormat="false" ht="15" hidden="false" customHeight="false" outlineLevel="0" collapsed="false">
      <c r="A400" s="5" t="str">
        <f aca="false">IF($D400="","",ROW()-1)</f>
        <v/>
      </c>
      <c r="B400" s="6"/>
      <c r="C400" s="7"/>
      <c r="D400" s="7"/>
      <c r="E400" s="7"/>
      <c r="F400" s="7"/>
      <c r="G400" s="8"/>
      <c r="H400" s="6"/>
      <c r="I400" s="9"/>
      <c r="J400" s="10"/>
      <c r="K400" s="8"/>
      <c r="L400" s="6"/>
      <c r="M400" s="11" t="str">
        <f aca="true">IF($D400="","",IF($K400="Completed",IF($L400="",$H400,$L400),IF($H400="","",IF($H400&lt;TODAY(),TODAY(),$H400))))</f>
        <v/>
      </c>
      <c r="N400" s="12" t="str">
        <f aca="true">IF($D400="","",IF($K400="Completed","Completed",IF($H400="","No Due Date",IF($H400&lt;TODAY(),"Carried Forward",IF($H400=TODAY(),"Due Today","Upcoming")))))</f>
        <v/>
      </c>
      <c r="O400" s="5" t="str">
        <f aca="true">IF($D400="","",IF($I400="","",IF($K400="Completed","",$I400-TODAY())))</f>
        <v/>
      </c>
      <c r="P400" s="5" t="str">
        <f aca="true">IF($D400="","",IF($B400="","",IF($K400="Completed",IF($L400="","",$L400-$B400),TODAY()-$B400)))</f>
        <v/>
      </c>
      <c r="Q400" s="5" t="str">
        <f aca="false">IF($D400="","",IF($K400="Completed","",MAX($Q$1:$Q399)+1))</f>
        <v/>
      </c>
      <c r="R400" s="7"/>
    </row>
    <row r="401" customFormat="false" ht="15" hidden="false" customHeight="false" outlineLevel="0" collapsed="false">
      <c r="A401" s="5" t="str">
        <f aca="false">IF($D401="","",ROW()-1)</f>
        <v/>
      </c>
      <c r="B401" s="6"/>
      <c r="C401" s="7"/>
      <c r="D401" s="7"/>
      <c r="E401" s="7"/>
      <c r="F401" s="7"/>
      <c r="G401" s="8"/>
      <c r="H401" s="6"/>
      <c r="I401" s="9"/>
      <c r="J401" s="10"/>
      <c r="K401" s="8"/>
      <c r="L401" s="6"/>
      <c r="M401" s="11" t="str">
        <f aca="true">IF($D401="","",IF($K401="Completed",IF($L401="",$H401,$L401),IF($H401="","",IF($H401&lt;TODAY(),TODAY(),$H401))))</f>
        <v/>
      </c>
      <c r="N401" s="12" t="str">
        <f aca="true">IF($D401="","",IF($K401="Completed","Completed",IF($H401="","No Due Date",IF($H401&lt;TODAY(),"Carried Forward",IF($H401=TODAY(),"Due Today","Upcoming")))))</f>
        <v/>
      </c>
      <c r="O401" s="5" t="str">
        <f aca="true">IF($D401="","",IF($I401="","",IF($K401="Completed","",$I401-TODAY())))</f>
        <v/>
      </c>
      <c r="P401" s="5" t="str">
        <f aca="true">IF($D401="","",IF($B401="","",IF($K401="Completed",IF($L401="","",$L401-$B401),TODAY()-$B401)))</f>
        <v/>
      </c>
      <c r="Q401" s="5" t="str">
        <f aca="false">IF($D401="","",IF($K401="Completed","",MAX($Q$1:$Q400)+1))</f>
        <v/>
      </c>
      <c r="R401" s="7"/>
    </row>
    <row r="402" customFormat="false" ht="15" hidden="false" customHeight="false" outlineLevel="0" collapsed="false">
      <c r="A402" s="5" t="str">
        <f aca="false">IF($D402="","",ROW()-1)</f>
        <v/>
      </c>
      <c r="B402" s="6"/>
      <c r="C402" s="7"/>
      <c r="D402" s="7"/>
      <c r="E402" s="7"/>
      <c r="F402" s="7"/>
      <c r="G402" s="8"/>
      <c r="H402" s="6"/>
      <c r="I402" s="9"/>
      <c r="J402" s="10"/>
      <c r="K402" s="8"/>
      <c r="L402" s="6"/>
      <c r="M402" s="11" t="str">
        <f aca="true">IF($D402="","",IF($K402="Completed",IF($L402="",$H402,$L402),IF($H402="","",IF($H402&lt;TODAY(),TODAY(),$H402))))</f>
        <v/>
      </c>
      <c r="N402" s="12" t="str">
        <f aca="true">IF($D402="","",IF($K402="Completed","Completed",IF($H402="","No Due Date",IF($H402&lt;TODAY(),"Carried Forward",IF($H402=TODAY(),"Due Today","Upcoming")))))</f>
        <v/>
      </c>
      <c r="O402" s="5" t="str">
        <f aca="true">IF($D402="","",IF($I402="","",IF($K402="Completed","",$I402-TODAY())))</f>
        <v/>
      </c>
      <c r="P402" s="5" t="str">
        <f aca="true">IF($D402="","",IF($B402="","",IF($K402="Completed",IF($L402="","",$L402-$B402),TODAY()-$B402)))</f>
        <v/>
      </c>
      <c r="Q402" s="5" t="str">
        <f aca="false">IF($D402="","",IF($K402="Completed","",MAX($Q$1:$Q401)+1))</f>
        <v/>
      </c>
      <c r="R402" s="7"/>
    </row>
    <row r="403" customFormat="false" ht="15" hidden="false" customHeight="false" outlineLevel="0" collapsed="false">
      <c r="A403" s="5" t="str">
        <f aca="false">IF($D403="","",ROW()-1)</f>
        <v/>
      </c>
      <c r="B403" s="6"/>
      <c r="C403" s="7"/>
      <c r="D403" s="7"/>
      <c r="E403" s="7"/>
      <c r="F403" s="7"/>
      <c r="G403" s="8"/>
      <c r="H403" s="6"/>
      <c r="I403" s="9"/>
      <c r="J403" s="10"/>
      <c r="K403" s="8"/>
      <c r="L403" s="6"/>
      <c r="M403" s="11" t="str">
        <f aca="true">IF($D403="","",IF($K403="Completed",IF($L403="",$H403,$L403),IF($H403="","",IF($H403&lt;TODAY(),TODAY(),$H403))))</f>
        <v/>
      </c>
      <c r="N403" s="12" t="str">
        <f aca="true">IF($D403="","",IF($K403="Completed","Completed",IF($H403="","No Due Date",IF($H403&lt;TODAY(),"Carried Forward",IF($H403=TODAY(),"Due Today","Upcoming")))))</f>
        <v/>
      </c>
      <c r="O403" s="5" t="str">
        <f aca="true">IF($D403="","",IF($I403="","",IF($K403="Completed","",$I403-TODAY())))</f>
        <v/>
      </c>
      <c r="P403" s="5" t="str">
        <f aca="true">IF($D403="","",IF($B403="","",IF($K403="Completed",IF($L403="","",$L403-$B403),TODAY()-$B403)))</f>
        <v/>
      </c>
      <c r="Q403" s="5" t="str">
        <f aca="false">IF($D403="","",IF($K403="Completed","",MAX($Q$1:$Q402)+1))</f>
        <v/>
      </c>
      <c r="R403" s="7"/>
    </row>
    <row r="404" customFormat="false" ht="15" hidden="false" customHeight="false" outlineLevel="0" collapsed="false">
      <c r="A404" s="5" t="str">
        <f aca="false">IF($D404="","",ROW()-1)</f>
        <v/>
      </c>
      <c r="B404" s="6"/>
      <c r="C404" s="7"/>
      <c r="D404" s="7"/>
      <c r="E404" s="7"/>
      <c r="F404" s="7"/>
      <c r="G404" s="8"/>
      <c r="H404" s="6"/>
      <c r="I404" s="9"/>
      <c r="J404" s="10"/>
      <c r="K404" s="8"/>
      <c r="L404" s="6"/>
      <c r="M404" s="11" t="str">
        <f aca="true">IF($D404="","",IF($K404="Completed",IF($L404="",$H404,$L404),IF($H404="","",IF($H404&lt;TODAY(),TODAY(),$H404))))</f>
        <v/>
      </c>
      <c r="N404" s="12" t="str">
        <f aca="true">IF($D404="","",IF($K404="Completed","Completed",IF($H404="","No Due Date",IF($H404&lt;TODAY(),"Carried Forward",IF($H404=TODAY(),"Due Today","Upcoming")))))</f>
        <v/>
      </c>
      <c r="O404" s="5" t="str">
        <f aca="true">IF($D404="","",IF($I404="","",IF($K404="Completed","",$I404-TODAY())))</f>
        <v/>
      </c>
      <c r="P404" s="5" t="str">
        <f aca="true">IF($D404="","",IF($B404="","",IF($K404="Completed",IF($L404="","",$L404-$B404),TODAY()-$B404)))</f>
        <v/>
      </c>
      <c r="Q404" s="5" t="str">
        <f aca="false">IF($D404="","",IF($K404="Completed","",MAX($Q$1:$Q403)+1))</f>
        <v/>
      </c>
      <c r="R404" s="7"/>
    </row>
    <row r="405" customFormat="false" ht="15" hidden="false" customHeight="false" outlineLevel="0" collapsed="false">
      <c r="A405" s="5" t="str">
        <f aca="false">IF($D405="","",ROW()-1)</f>
        <v/>
      </c>
      <c r="B405" s="6"/>
      <c r="C405" s="7"/>
      <c r="D405" s="7"/>
      <c r="E405" s="7"/>
      <c r="F405" s="7"/>
      <c r="G405" s="8"/>
      <c r="H405" s="6"/>
      <c r="I405" s="9"/>
      <c r="J405" s="10"/>
      <c r="K405" s="8"/>
      <c r="L405" s="6"/>
      <c r="M405" s="11" t="str">
        <f aca="true">IF($D405="","",IF($K405="Completed",IF($L405="",$H405,$L405),IF($H405="","",IF($H405&lt;TODAY(),TODAY(),$H405))))</f>
        <v/>
      </c>
      <c r="N405" s="12" t="str">
        <f aca="true">IF($D405="","",IF($K405="Completed","Completed",IF($H405="","No Due Date",IF($H405&lt;TODAY(),"Carried Forward",IF($H405=TODAY(),"Due Today","Upcoming")))))</f>
        <v/>
      </c>
      <c r="O405" s="5" t="str">
        <f aca="true">IF($D405="","",IF($I405="","",IF($K405="Completed","",$I405-TODAY())))</f>
        <v/>
      </c>
      <c r="P405" s="5" t="str">
        <f aca="true">IF($D405="","",IF($B405="","",IF($K405="Completed",IF($L405="","",$L405-$B405),TODAY()-$B405)))</f>
        <v/>
      </c>
      <c r="Q405" s="5" t="str">
        <f aca="false">IF($D405="","",IF($K405="Completed","",MAX($Q$1:$Q404)+1))</f>
        <v/>
      </c>
      <c r="R405" s="7"/>
    </row>
    <row r="406" customFormat="false" ht="15" hidden="false" customHeight="false" outlineLevel="0" collapsed="false">
      <c r="A406" s="5" t="str">
        <f aca="false">IF($D406="","",ROW()-1)</f>
        <v/>
      </c>
      <c r="B406" s="6"/>
      <c r="C406" s="7"/>
      <c r="D406" s="7"/>
      <c r="E406" s="7"/>
      <c r="F406" s="7"/>
      <c r="G406" s="8"/>
      <c r="H406" s="6"/>
      <c r="I406" s="9"/>
      <c r="J406" s="10"/>
      <c r="K406" s="8"/>
      <c r="L406" s="6"/>
      <c r="M406" s="11" t="str">
        <f aca="true">IF($D406="","",IF($K406="Completed",IF($L406="",$H406,$L406),IF($H406="","",IF($H406&lt;TODAY(),TODAY(),$H406))))</f>
        <v/>
      </c>
      <c r="N406" s="12" t="str">
        <f aca="true">IF($D406="","",IF($K406="Completed","Completed",IF($H406="","No Due Date",IF($H406&lt;TODAY(),"Carried Forward",IF($H406=TODAY(),"Due Today","Upcoming")))))</f>
        <v/>
      </c>
      <c r="O406" s="5" t="str">
        <f aca="true">IF($D406="","",IF($I406="","",IF($K406="Completed","",$I406-TODAY())))</f>
        <v/>
      </c>
      <c r="P406" s="5" t="str">
        <f aca="true">IF($D406="","",IF($B406="","",IF($K406="Completed",IF($L406="","",$L406-$B406),TODAY()-$B406)))</f>
        <v/>
      </c>
      <c r="Q406" s="5" t="str">
        <f aca="false">IF($D406="","",IF($K406="Completed","",MAX($Q$1:$Q405)+1))</f>
        <v/>
      </c>
      <c r="R406" s="7"/>
    </row>
    <row r="407" customFormat="false" ht="15" hidden="false" customHeight="false" outlineLevel="0" collapsed="false">
      <c r="A407" s="5" t="str">
        <f aca="false">IF($D407="","",ROW()-1)</f>
        <v/>
      </c>
      <c r="B407" s="6"/>
      <c r="C407" s="7"/>
      <c r="D407" s="7"/>
      <c r="E407" s="7"/>
      <c r="F407" s="7"/>
      <c r="G407" s="8"/>
      <c r="H407" s="6"/>
      <c r="I407" s="9"/>
      <c r="J407" s="10"/>
      <c r="K407" s="8"/>
      <c r="L407" s="6"/>
      <c r="M407" s="11" t="str">
        <f aca="true">IF($D407="","",IF($K407="Completed",IF($L407="",$H407,$L407),IF($H407="","",IF($H407&lt;TODAY(),TODAY(),$H407))))</f>
        <v/>
      </c>
      <c r="N407" s="12" t="str">
        <f aca="true">IF($D407="","",IF($K407="Completed","Completed",IF($H407="","No Due Date",IF($H407&lt;TODAY(),"Carried Forward",IF($H407=TODAY(),"Due Today","Upcoming")))))</f>
        <v/>
      </c>
      <c r="O407" s="5" t="str">
        <f aca="true">IF($D407="","",IF($I407="","",IF($K407="Completed","",$I407-TODAY())))</f>
        <v/>
      </c>
      <c r="P407" s="5" t="str">
        <f aca="true">IF($D407="","",IF($B407="","",IF($K407="Completed",IF($L407="","",$L407-$B407),TODAY()-$B407)))</f>
        <v/>
      </c>
      <c r="Q407" s="5" t="str">
        <f aca="false">IF($D407="","",IF($K407="Completed","",MAX($Q$1:$Q406)+1))</f>
        <v/>
      </c>
      <c r="R407" s="7"/>
    </row>
    <row r="408" customFormat="false" ht="15" hidden="false" customHeight="false" outlineLevel="0" collapsed="false">
      <c r="A408" s="5" t="str">
        <f aca="false">IF($D408="","",ROW()-1)</f>
        <v/>
      </c>
      <c r="B408" s="6"/>
      <c r="C408" s="7"/>
      <c r="D408" s="7"/>
      <c r="E408" s="7"/>
      <c r="F408" s="7"/>
      <c r="G408" s="8"/>
      <c r="H408" s="6"/>
      <c r="I408" s="9"/>
      <c r="J408" s="10"/>
      <c r="K408" s="8"/>
      <c r="L408" s="6"/>
      <c r="M408" s="11" t="str">
        <f aca="true">IF($D408="","",IF($K408="Completed",IF($L408="",$H408,$L408),IF($H408="","",IF($H408&lt;TODAY(),TODAY(),$H408))))</f>
        <v/>
      </c>
      <c r="N408" s="12" t="str">
        <f aca="true">IF($D408="","",IF($K408="Completed","Completed",IF($H408="","No Due Date",IF($H408&lt;TODAY(),"Carried Forward",IF($H408=TODAY(),"Due Today","Upcoming")))))</f>
        <v/>
      </c>
      <c r="O408" s="5" t="str">
        <f aca="true">IF($D408="","",IF($I408="","",IF($K408="Completed","",$I408-TODAY())))</f>
        <v/>
      </c>
      <c r="P408" s="5" t="str">
        <f aca="true">IF($D408="","",IF($B408="","",IF($K408="Completed",IF($L408="","",$L408-$B408),TODAY()-$B408)))</f>
        <v/>
      </c>
      <c r="Q408" s="5" t="str">
        <f aca="false">IF($D408="","",IF($K408="Completed","",MAX($Q$1:$Q407)+1))</f>
        <v/>
      </c>
      <c r="R408" s="7"/>
    </row>
    <row r="409" customFormat="false" ht="15" hidden="false" customHeight="false" outlineLevel="0" collapsed="false">
      <c r="A409" s="5" t="str">
        <f aca="false">IF($D409="","",ROW()-1)</f>
        <v/>
      </c>
      <c r="B409" s="6"/>
      <c r="C409" s="7"/>
      <c r="D409" s="7"/>
      <c r="E409" s="7"/>
      <c r="F409" s="7"/>
      <c r="G409" s="8"/>
      <c r="H409" s="6"/>
      <c r="I409" s="9"/>
      <c r="J409" s="10"/>
      <c r="K409" s="8"/>
      <c r="L409" s="6"/>
      <c r="M409" s="11" t="str">
        <f aca="true">IF($D409="","",IF($K409="Completed",IF($L409="",$H409,$L409),IF($H409="","",IF($H409&lt;TODAY(),TODAY(),$H409))))</f>
        <v/>
      </c>
      <c r="N409" s="12" t="str">
        <f aca="true">IF($D409="","",IF($K409="Completed","Completed",IF($H409="","No Due Date",IF($H409&lt;TODAY(),"Carried Forward",IF($H409=TODAY(),"Due Today","Upcoming")))))</f>
        <v/>
      </c>
      <c r="O409" s="5" t="str">
        <f aca="true">IF($D409="","",IF($I409="","",IF($K409="Completed","",$I409-TODAY())))</f>
        <v/>
      </c>
      <c r="P409" s="5" t="str">
        <f aca="true">IF($D409="","",IF($B409="","",IF($K409="Completed",IF($L409="","",$L409-$B409),TODAY()-$B409)))</f>
        <v/>
      </c>
      <c r="Q409" s="5" t="str">
        <f aca="false">IF($D409="","",IF($K409="Completed","",MAX($Q$1:$Q408)+1))</f>
        <v/>
      </c>
      <c r="R409" s="7"/>
    </row>
    <row r="410" customFormat="false" ht="15" hidden="false" customHeight="false" outlineLevel="0" collapsed="false">
      <c r="A410" s="5" t="str">
        <f aca="false">IF($D410="","",ROW()-1)</f>
        <v/>
      </c>
      <c r="B410" s="6"/>
      <c r="C410" s="7"/>
      <c r="D410" s="7"/>
      <c r="E410" s="7"/>
      <c r="F410" s="7"/>
      <c r="G410" s="8"/>
      <c r="H410" s="6"/>
      <c r="I410" s="9"/>
      <c r="J410" s="10"/>
      <c r="K410" s="8"/>
      <c r="L410" s="6"/>
      <c r="M410" s="11" t="str">
        <f aca="true">IF($D410="","",IF($K410="Completed",IF($L410="",$H410,$L410),IF($H410="","",IF($H410&lt;TODAY(),TODAY(),$H410))))</f>
        <v/>
      </c>
      <c r="N410" s="12" t="str">
        <f aca="true">IF($D410="","",IF($K410="Completed","Completed",IF($H410="","No Due Date",IF($H410&lt;TODAY(),"Carried Forward",IF($H410=TODAY(),"Due Today","Upcoming")))))</f>
        <v/>
      </c>
      <c r="O410" s="5" t="str">
        <f aca="true">IF($D410="","",IF($I410="","",IF($K410="Completed","",$I410-TODAY())))</f>
        <v/>
      </c>
      <c r="P410" s="5" t="str">
        <f aca="true">IF($D410="","",IF($B410="","",IF($K410="Completed",IF($L410="","",$L410-$B410),TODAY()-$B410)))</f>
        <v/>
      </c>
      <c r="Q410" s="5" t="str">
        <f aca="false">IF($D410="","",IF($K410="Completed","",MAX($Q$1:$Q409)+1))</f>
        <v/>
      </c>
      <c r="R410" s="7"/>
    </row>
    <row r="411" customFormat="false" ht="15" hidden="false" customHeight="false" outlineLevel="0" collapsed="false">
      <c r="A411" s="5" t="str">
        <f aca="false">IF($D411="","",ROW()-1)</f>
        <v/>
      </c>
      <c r="B411" s="6"/>
      <c r="C411" s="7"/>
      <c r="D411" s="7"/>
      <c r="E411" s="7"/>
      <c r="F411" s="7"/>
      <c r="G411" s="8"/>
      <c r="H411" s="6"/>
      <c r="I411" s="9"/>
      <c r="J411" s="10"/>
      <c r="K411" s="8"/>
      <c r="L411" s="6"/>
      <c r="M411" s="11" t="str">
        <f aca="true">IF($D411="","",IF($K411="Completed",IF($L411="",$H411,$L411),IF($H411="","",IF($H411&lt;TODAY(),TODAY(),$H411))))</f>
        <v/>
      </c>
      <c r="N411" s="12" t="str">
        <f aca="true">IF($D411="","",IF($K411="Completed","Completed",IF($H411="","No Due Date",IF($H411&lt;TODAY(),"Carried Forward",IF($H411=TODAY(),"Due Today","Upcoming")))))</f>
        <v/>
      </c>
      <c r="O411" s="5" t="str">
        <f aca="true">IF($D411="","",IF($I411="","",IF($K411="Completed","",$I411-TODAY())))</f>
        <v/>
      </c>
      <c r="P411" s="5" t="str">
        <f aca="true">IF($D411="","",IF($B411="","",IF($K411="Completed",IF($L411="","",$L411-$B411),TODAY()-$B411)))</f>
        <v/>
      </c>
      <c r="Q411" s="5" t="str">
        <f aca="false">IF($D411="","",IF($K411="Completed","",MAX($Q$1:$Q410)+1))</f>
        <v/>
      </c>
      <c r="R411" s="7"/>
    </row>
    <row r="412" customFormat="false" ht="15" hidden="false" customHeight="false" outlineLevel="0" collapsed="false">
      <c r="A412" s="5" t="str">
        <f aca="false">IF($D412="","",ROW()-1)</f>
        <v/>
      </c>
      <c r="B412" s="6"/>
      <c r="C412" s="7"/>
      <c r="D412" s="7"/>
      <c r="E412" s="7"/>
      <c r="F412" s="7"/>
      <c r="G412" s="8"/>
      <c r="H412" s="6"/>
      <c r="I412" s="9"/>
      <c r="J412" s="10"/>
      <c r="K412" s="8"/>
      <c r="L412" s="6"/>
      <c r="M412" s="11" t="str">
        <f aca="true">IF($D412="","",IF($K412="Completed",IF($L412="",$H412,$L412),IF($H412="","",IF($H412&lt;TODAY(),TODAY(),$H412))))</f>
        <v/>
      </c>
      <c r="N412" s="12" t="str">
        <f aca="true">IF($D412="","",IF($K412="Completed","Completed",IF($H412="","No Due Date",IF($H412&lt;TODAY(),"Carried Forward",IF($H412=TODAY(),"Due Today","Upcoming")))))</f>
        <v/>
      </c>
      <c r="O412" s="5" t="str">
        <f aca="true">IF($D412="","",IF($I412="","",IF($K412="Completed","",$I412-TODAY())))</f>
        <v/>
      </c>
      <c r="P412" s="5" t="str">
        <f aca="true">IF($D412="","",IF($B412="","",IF($K412="Completed",IF($L412="","",$L412-$B412),TODAY()-$B412)))</f>
        <v/>
      </c>
      <c r="Q412" s="5" t="str">
        <f aca="false">IF($D412="","",IF($K412="Completed","",MAX($Q$1:$Q411)+1))</f>
        <v/>
      </c>
      <c r="R412" s="7"/>
    </row>
    <row r="413" customFormat="false" ht="15" hidden="false" customHeight="false" outlineLevel="0" collapsed="false">
      <c r="A413" s="5" t="str">
        <f aca="false">IF($D413="","",ROW()-1)</f>
        <v/>
      </c>
      <c r="B413" s="6"/>
      <c r="C413" s="7"/>
      <c r="D413" s="7"/>
      <c r="E413" s="7"/>
      <c r="F413" s="7"/>
      <c r="G413" s="8"/>
      <c r="H413" s="6"/>
      <c r="I413" s="9"/>
      <c r="J413" s="10"/>
      <c r="K413" s="8"/>
      <c r="L413" s="6"/>
      <c r="M413" s="11" t="str">
        <f aca="true">IF($D413="","",IF($K413="Completed",IF($L413="",$H413,$L413),IF($H413="","",IF($H413&lt;TODAY(),TODAY(),$H413))))</f>
        <v/>
      </c>
      <c r="N413" s="12" t="str">
        <f aca="true">IF($D413="","",IF($K413="Completed","Completed",IF($H413="","No Due Date",IF($H413&lt;TODAY(),"Carried Forward",IF($H413=TODAY(),"Due Today","Upcoming")))))</f>
        <v/>
      </c>
      <c r="O413" s="5" t="str">
        <f aca="true">IF($D413="","",IF($I413="","",IF($K413="Completed","",$I413-TODAY())))</f>
        <v/>
      </c>
      <c r="P413" s="5" t="str">
        <f aca="true">IF($D413="","",IF($B413="","",IF($K413="Completed",IF($L413="","",$L413-$B413),TODAY()-$B413)))</f>
        <v/>
      </c>
      <c r="Q413" s="5" t="str">
        <f aca="false">IF($D413="","",IF($K413="Completed","",MAX($Q$1:$Q412)+1))</f>
        <v/>
      </c>
      <c r="R413" s="7"/>
    </row>
    <row r="414" customFormat="false" ht="15" hidden="false" customHeight="false" outlineLevel="0" collapsed="false">
      <c r="A414" s="5" t="str">
        <f aca="false">IF($D414="","",ROW()-1)</f>
        <v/>
      </c>
      <c r="B414" s="6"/>
      <c r="C414" s="7"/>
      <c r="D414" s="7"/>
      <c r="E414" s="7"/>
      <c r="F414" s="7"/>
      <c r="G414" s="8"/>
      <c r="H414" s="6"/>
      <c r="I414" s="9"/>
      <c r="J414" s="10"/>
      <c r="K414" s="8"/>
      <c r="L414" s="6"/>
      <c r="M414" s="11" t="str">
        <f aca="true">IF($D414="","",IF($K414="Completed",IF($L414="",$H414,$L414),IF($H414="","",IF($H414&lt;TODAY(),TODAY(),$H414))))</f>
        <v/>
      </c>
      <c r="N414" s="12" t="str">
        <f aca="true">IF($D414="","",IF($K414="Completed","Completed",IF($H414="","No Due Date",IF($H414&lt;TODAY(),"Carried Forward",IF($H414=TODAY(),"Due Today","Upcoming")))))</f>
        <v/>
      </c>
      <c r="O414" s="5" t="str">
        <f aca="true">IF($D414="","",IF($I414="","",IF($K414="Completed","",$I414-TODAY())))</f>
        <v/>
      </c>
      <c r="P414" s="5" t="str">
        <f aca="true">IF($D414="","",IF($B414="","",IF($K414="Completed",IF($L414="","",$L414-$B414),TODAY()-$B414)))</f>
        <v/>
      </c>
      <c r="Q414" s="5" t="str">
        <f aca="false">IF($D414="","",IF($K414="Completed","",MAX($Q$1:$Q413)+1))</f>
        <v/>
      </c>
      <c r="R414" s="7"/>
    </row>
    <row r="415" customFormat="false" ht="15" hidden="false" customHeight="false" outlineLevel="0" collapsed="false">
      <c r="A415" s="5" t="str">
        <f aca="false">IF($D415="","",ROW()-1)</f>
        <v/>
      </c>
      <c r="B415" s="6"/>
      <c r="C415" s="7"/>
      <c r="D415" s="7"/>
      <c r="E415" s="7"/>
      <c r="F415" s="7"/>
      <c r="G415" s="8"/>
      <c r="H415" s="6"/>
      <c r="I415" s="9"/>
      <c r="J415" s="10"/>
      <c r="K415" s="8"/>
      <c r="L415" s="6"/>
      <c r="M415" s="11" t="str">
        <f aca="true">IF($D415="","",IF($K415="Completed",IF($L415="",$H415,$L415),IF($H415="","",IF($H415&lt;TODAY(),TODAY(),$H415))))</f>
        <v/>
      </c>
      <c r="N415" s="12" t="str">
        <f aca="true">IF($D415="","",IF($K415="Completed","Completed",IF($H415="","No Due Date",IF($H415&lt;TODAY(),"Carried Forward",IF($H415=TODAY(),"Due Today","Upcoming")))))</f>
        <v/>
      </c>
      <c r="O415" s="5" t="str">
        <f aca="true">IF($D415="","",IF($I415="","",IF($K415="Completed","",$I415-TODAY())))</f>
        <v/>
      </c>
      <c r="P415" s="5" t="str">
        <f aca="true">IF($D415="","",IF($B415="","",IF($K415="Completed",IF($L415="","",$L415-$B415),TODAY()-$B415)))</f>
        <v/>
      </c>
      <c r="Q415" s="5" t="str">
        <f aca="false">IF($D415="","",IF($K415="Completed","",MAX($Q$1:$Q414)+1))</f>
        <v/>
      </c>
      <c r="R415" s="7"/>
    </row>
    <row r="416" customFormat="false" ht="15" hidden="false" customHeight="false" outlineLevel="0" collapsed="false">
      <c r="A416" s="5" t="str">
        <f aca="false">IF($D416="","",ROW()-1)</f>
        <v/>
      </c>
      <c r="B416" s="6"/>
      <c r="C416" s="7"/>
      <c r="D416" s="7"/>
      <c r="E416" s="7"/>
      <c r="F416" s="7"/>
      <c r="G416" s="8"/>
      <c r="H416" s="6"/>
      <c r="I416" s="9"/>
      <c r="J416" s="10"/>
      <c r="K416" s="8"/>
      <c r="L416" s="6"/>
      <c r="M416" s="11" t="str">
        <f aca="true">IF($D416="","",IF($K416="Completed",IF($L416="",$H416,$L416),IF($H416="","",IF($H416&lt;TODAY(),TODAY(),$H416))))</f>
        <v/>
      </c>
      <c r="N416" s="12" t="str">
        <f aca="true">IF($D416="","",IF($K416="Completed","Completed",IF($H416="","No Due Date",IF($H416&lt;TODAY(),"Carried Forward",IF($H416=TODAY(),"Due Today","Upcoming")))))</f>
        <v/>
      </c>
      <c r="O416" s="5" t="str">
        <f aca="true">IF($D416="","",IF($I416="","",IF($K416="Completed","",$I416-TODAY())))</f>
        <v/>
      </c>
      <c r="P416" s="5" t="str">
        <f aca="true">IF($D416="","",IF($B416="","",IF($K416="Completed",IF($L416="","",$L416-$B416),TODAY()-$B416)))</f>
        <v/>
      </c>
      <c r="Q416" s="5" t="str">
        <f aca="false">IF($D416="","",IF($K416="Completed","",MAX($Q$1:$Q415)+1))</f>
        <v/>
      </c>
      <c r="R416" s="7"/>
    </row>
    <row r="417" customFormat="false" ht="15" hidden="false" customHeight="false" outlineLevel="0" collapsed="false">
      <c r="A417" s="5" t="str">
        <f aca="false">IF($D417="","",ROW()-1)</f>
        <v/>
      </c>
      <c r="B417" s="6"/>
      <c r="C417" s="7"/>
      <c r="D417" s="7"/>
      <c r="E417" s="7"/>
      <c r="F417" s="7"/>
      <c r="G417" s="8"/>
      <c r="H417" s="6"/>
      <c r="I417" s="9"/>
      <c r="J417" s="10"/>
      <c r="K417" s="8"/>
      <c r="L417" s="6"/>
      <c r="M417" s="11" t="str">
        <f aca="true">IF($D417="","",IF($K417="Completed",IF($L417="",$H417,$L417),IF($H417="","",IF($H417&lt;TODAY(),TODAY(),$H417))))</f>
        <v/>
      </c>
      <c r="N417" s="12" t="str">
        <f aca="true">IF($D417="","",IF($K417="Completed","Completed",IF($H417="","No Due Date",IF($H417&lt;TODAY(),"Carried Forward",IF($H417=TODAY(),"Due Today","Upcoming")))))</f>
        <v/>
      </c>
      <c r="O417" s="5" t="str">
        <f aca="true">IF($D417="","",IF($I417="","",IF($K417="Completed","",$I417-TODAY())))</f>
        <v/>
      </c>
      <c r="P417" s="5" t="str">
        <f aca="true">IF($D417="","",IF($B417="","",IF($K417="Completed",IF($L417="","",$L417-$B417),TODAY()-$B417)))</f>
        <v/>
      </c>
      <c r="Q417" s="5" t="str">
        <f aca="false">IF($D417="","",IF($K417="Completed","",MAX($Q$1:$Q416)+1))</f>
        <v/>
      </c>
      <c r="R417" s="7"/>
    </row>
    <row r="418" customFormat="false" ht="15" hidden="false" customHeight="false" outlineLevel="0" collapsed="false">
      <c r="A418" s="5" t="str">
        <f aca="false">IF($D418="","",ROW()-1)</f>
        <v/>
      </c>
      <c r="B418" s="6"/>
      <c r="C418" s="7"/>
      <c r="D418" s="7"/>
      <c r="E418" s="7"/>
      <c r="F418" s="7"/>
      <c r="G418" s="8"/>
      <c r="H418" s="6"/>
      <c r="I418" s="9"/>
      <c r="J418" s="10"/>
      <c r="K418" s="8"/>
      <c r="L418" s="6"/>
      <c r="M418" s="11" t="str">
        <f aca="true">IF($D418="","",IF($K418="Completed",IF($L418="",$H418,$L418),IF($H418="","",IF($H418&lt;TODAY(),TODAY(),$H418))))</f>
        <v/>
      </c>
      <c r="N418" s="12" t="str">
        <f aca="true">IF($D418="","",IF($K418="Completed","Completed",IF($H418="","No Due Date",IF($H418&lt;TODAY(),"Carried Forward",IF($H418=TODAY(),"Due Today","Upcoming")))))</f>
        <v/>
      </c>
      <c r="O418" s="5" t="str">
        <f aca="true">IF($D418="","",IF($I418="","",IF($K418="Completed","",$I418-TODAY())))</f>
        <v/>
      </c>
      <c r="P418" s="5" t="str">
        <f aca="true">IF($D418="","",IF($B418="","",IF($K418="Completed",IF($L418="","",$L418-$B418),TODAY()-$B418)))</f>
        <v/>
      </c>
      <c r="Q418" s="5" t="str">
        <f aca="false">IF($D418="","",IF($K418="Completed","",MAX($Q$1:$Q417)+1))</f>
        <v/>
      </c>
      <c r="R418" s="7"/>
    </row>
    <row r="419" customFormat="false" ht="15" hidden="false" customHeight="false" outlineLevel="0" collapsed="false">
      <c r="A419" s="5" t="str">
        <f aca="false">IF($D419="","",ROW()-1)</f>
        <v/>
      </c>
      <c r="B419" s="6"/>
      <c r="C419" s="7"/>
      <c r="D419" s="7"/>
      <c r="E419" s="7"/>
      <c r="F419" s="7"/>
      <c r="G419" s="8"/>
      <c r="H419" s="6"/>
      <c r="I419" s="9"/>
      <c r="J419" s="10"/>
      <c r="K419" s="8"/>
      <c r="L419" s="6"/>
      <c r="M419" s="11" t="str">
        <f aca="true">IF($D419="","",IF($K419="Completed",IF($L419="",$H419,$L419),IF($H419="","",IF($H419&lt;TODAY(),TODAY(),$H419))))</f>
        <v/>
      </c>
      <c r="N419" s="12" t="str">
        <f aca="true">IF($D419="","",IF($K419="Completed","Completed",IF($H419="","No Due Date",IF($H419&lt;TODAY(),"Carried Forward",IF($H419=TODAY(),"Due Today","Upcoming")))))</f>
        <v/>
      </c>
      <c r="O419" s="5" t="str">
        <f aca="true">IF($D419="","",IF($I419="","",IF($K419="Completed","",$I419-TODAY())))</f>
        <v/>
      </c>
      <c r="P419" s="5" t="str">
        <f aca="true">IF($D419="","",IF($B419="","",IF($K419="Completed",IF($L419="","",$L419-$B419),TODAY()-$B419)))</f>
        <v/>
      </c>
      <c r="Q419" s="5" t="str">
        <f aca="false">IF($D419="","",IF($K419="Completed","",MAX($Q$1:$Q418)+1))</f>
        <v/>
      </c>
      <c r="R419" s="7"/>
    </row>
    <row r="420" customFormat="false" ht="15" hidden="false" customHeight="false" outlineLevel="0" collapsed="false">
      <c r="A420" s="5" t="str">
        <f aca="false">IF($D420="","",ROW()-1)</f>
        <v/>
      </c>
      <c r="B420" s="6"/>
      <c r="C420" s="7"/>
      <c r="D420" s="7"/>
      <c r="E420" s="7"/>
      <c r="F420" s="7"/>
      <c r="G420" s="8"/>
      <c r="H420" s="6"/>
      <c r="I420" s="9"/>
      <c r="J420" s="10"/>
      <c r="K420" s="8"/>
      <c r="L420" s="6"/>
      <c r="M420" s="11" t="str">
        <f aca="true">IF($D420="","",IF($K420="Completed",IF($L420="",$H420,$L420),IF($H420="","",IF($H420&lt;TODAY(),TODAY(),$H420))))</f>
        <v/>
      </c>
      <c r="N420" s="12" t="str">
        <f aca="true">IF($D420="","",IF($K420="Completed","Completed",IF($H420="","No Due Date",IF($H420&lt;TODAY(),"Carried Forward",IF($H420=TODAY(),"Due Today","Upcoming")))))</f>
        <v/>
      </c>
      <c r="O420" s="5" t="str">
        <f aca="true">IF($D420="","",IF($I420="","",IF($K420="Completed","",$I420-TODAY())))</f>
        <v/>
      </c>
      <c r="P420" s="5" t="str">
        <f aca="true">IF($D420="","",IF($B420="","",IF($K420="Completed",IF($L420="","",$L420-$B420),TODAY()-$B420)))</f>
        <v/>
      </c>
      <c r="Q420" s="5" t="str">
        <f aca="false">IF($D420="","",IF($K420="Completed","",MAX($Q$1:$Q419)+1))</f>
        <v/>
      </c>
      <c r="R420" s="7"/>
    </row>
    <row r="421" customFormat="false" ht="15" hidden="false" customHeight="false" outlineLevel="0" collapsed="false">
      <c r="A421" s="5" t="str">
        <f aca="false">IF($D421="","",ROW()-1)</f>
        <v/>
      </c>
      <c r="B421" s="6"/>
      <c r="C421" s="7"/>
      <c r="D421" s="7"/>
      <c r="E421" s="7"/>
      <c r="F421" s="7"/>
      <c r="G421" s="8"/>
      <c r="H421" s="6"/>
      <c r="I421" s="9"/>
      <c r="J421" s="10"/>
      <c r="K421" s="8"/>
      <c r="L421" s="6"/>
      <c r="M421" s="11" t="str">
        <f aca="true">IF($D421="","",IF($K421="Completed",IF($L421="",$H421,$L421),IF($H421="","",IF($H421&lt;TODAY(),TODAY(),$H421))))</f>
        <v/>
      </c>
      <c r="N421" s="12" t="str">
        <f aca="true">IF($D421="","",IF($K421="Completed","Completed",IF($H421="","No Due Date",IF($H421&lt;TODAY(),"Carried Forward",IF($H421=TODAY(),"Due Today","Upcoming")))))</f>
        <v/>
      </c>
      <c r="O421" s="5" t="str">
        <f aca="true">IF($D421="","",IF($I421="","",IF($K421="Completed","",$I421-TODAY())))</f>
        <v/>
      </c>
      <c r="P421" s="5" t="str">
        <f aca="true">IF($D421="","",IF($B421="","",IF($K421="Completed",IF($L421="","",$L421-$B421),TODAY()-$B421)))</f>
        <v/>
      </c>
      <c r="Q421" s="5" t="str">
        <f aca="false">IF($D421="","",IF($K421="Completed","",MAX($Q$1:$Q420)+1))</f>
        <v/>
      </c>
      <c r="R421" s="7"/>
    </row>
    <row r="422" customFormat="false" ht="15" hidden="false" customHeight="false" outlineLevel="0" collapsed="false">
      <c r="A422" s="5" t="str">
        <f aca="false">IF($D422="","",ROW()-1)</f>
        <v/>
      </c>
      <c r="B422" s="6"/>
      <c r="C422" s="7"/>
      <c r="D422" s="7"/>
      <c r="E422" s="7"/>
      <c r="F422" s="7"/>
      <c r="G422" s="8"/>
      <c r="H422" s="6"/>
      <c r="I422" s="9"/>
      <c r="J422" s="10"/>
      <c r="K422" s="8"/>
      <c r="L422" s="6"/>
      <c r="M422" s="11" t="str">
        <f aca="true">IF($D422="","",IF($K422="Completed",IF($L422="",$H422,$L422),IF($H422="","",IF($H422&lt;TODAY(),TODAY(),$H422))))</f>
        <v/>
      </c>
      <c r="N422" s="12" t="str">
        <f aca="true">IF($D422="","",IF($K422="Completed","Completed",IF($H422="","No Due Date",IF($H422&lt;TODAY(),"Carried Forward",IF($H422=TODAY(),"Due Today","Upcoming")))))</f>
        <v/>
      </c>
      <c r="O422" s="5" t="str">
        <f aca="true">IF($D422="","",IF($I422="","",IF($K422="Completed","",$I422-TODAY())))</f>
        <v/>
      </c>
      <c r="P422" s="5" t="str">
        <f aca="true">IF($D422="","",IF($B422="","",IF($K422="Completed",IF($L422="","",$L422-$B422),TODAY()-$B422)))</f>
        <v/>
      </c>
      <c r="Q422" s="5" t="str">
        <f aca="false">IF($D422="","",IF($K422="Completed","",MAX($Q$1:$Q421)+1))</f>
        <v/>
      </c>
      <c r="R422" s="7"/>
    </row>
    <row r="423" customFormat="false" ht="15" hidden="false" customHeight="false" outlineLevel="0" collapsed="false">
      <c r="A423" s="5" t="str">
        <f aca="false">IF($D423="","",ROW()-1)</f>
        <v/>
      </c>
      <c r="B423" s="6"/>
      <c r="C423" s="7"/>
      <c r="D423" s="7"/>
      <c r="E423" s="7"/>
      <c r="F423" s="7"/>
      <c r="G423" s="8"/>
      <c r="H423" s="6"/>
      <c r="I423" s="9"/>
      <c r="J423" s="10"/>
      <c r="K423" s="8"/>
      <c r="L423" s="6"/>
      <c r="M423" s="11" t="str">
        <f aca="true">IF($D423="","",IF($K423="Completed",IF($L423="",$H423,$L423),IF($H423="","",IF($H423&lt;TODAY(),TODAY(),$H423))))</f>
        <v/>
      </c>
      <c r="N423" s="12" t="str">
        <f aca="true">IF($D423="","",IF($K423="Completed","Completed",IF($H423="","No Due Date",IF($H423&lt;TODAY(),"Carried Forward",IF($H423=TODAY(),"Due Today","Upcoming")))))</f>
        <v/>
      </c>
      <c r="O423" s="5" t="str">
        <f aca="true">IF($D423="","",IF($I423="","",IF($K423="Completed","",$I423-TODAY())))</f>
        <v/>
      </c>
      <c r="P423" s="5" t="str">
        <f aca="true">IF($D423="","",IF($B423="","",IF($K423="Completed",IF($L423="","",$L423-$B423),TODAY()-$B423)))</f>
        <v/>
      </c>
      <c r="Q423" s="5" t="str">
        <f aca="false">IF($D423="","",IF($K423="Completed","",MAX($Q$1:$Q422)+1))</f>
        <v/>
      </c>
      <c r="R423" s="7"/>
    </row>
    <row r="424" customFormat="false" ht="15" hidden="false" customHeight="false" outlineLevel="0" collapsed="false">
      <c r="A424" s="5" t="str">
        <f aca="false">IF($D424="","",ROW()-1)</f>
        <v/>
      </c>
      <c r="B424" s="6"/>
      <c r="C424" s="7"/>
      <c r="D424" s="7"/>
      <c r="E424" s="7"/>
      <c r="F424" s="7"/>
      <c r="G424" s="8"/>
      <c r="H424" s="6"/>
      <c r="I424" s="9"/>
      <c r="J424" s="10"/>
      <c r="K424" s="8"/>
      <c r="L424" s="6"/>
      <c r="M424" s="11" t="str">
        <f aca="true">IF($D424="","",IF($K424="Completed",IF($L424="",$H424,$L424),IF($H424="","",IF($H424&lt;TODAY(),TODAY(),$H424))))</f>
        <v/>
      </c>
      <c r="N424" s="12" t="str">
        <f aca="true">IF($D424="","",IF($K424="Completed","Completed",IF($H424="","No Due Date",IF($H424&lt;TODAY(),"Carried Forward",IF($H424=TODAY(),"Due Today","Upcoming")))))</f>
        <v/>
      </c>
      <c r="O424" s="5" t="str">
        <f aca="true">IF($D424="","",IF($I424="","",IF($K424="Completed","",$I424-TODAY())))</f>
        <v/>
      </c>
      <c r="P424" s="5" t="str">
        <f aca="true">IF($D424="","",IF($B424="","",IF($K424="Completed",IF($L424="","",$L424-$B424),TODAY()-$B424)))</f>
        <v/>
      </c>
      <c r="Q424" s="5" t="str">
        <f aca="false">IF($D424="","",IF($K424="Completed","",MAX($Q$1:$Q423)+1))</f>
        <v/>
      </c>
      <c r="R424" s="7"/>
    </row>
    <row r="425" customFormat="false" ht="15" hidden="false" customHeight="false" outlineLevel="0" collapsed="false">
      <c r="A425" s="5" t="str">
        <f aca="false">IF($D425="","",ROW()-1)</f>
        <v/>
      </c>
      <c r="B425" s="6"/>
      <c r="C425" s="7"/>
      <c r="D425" s="7"/>
      <c r="E425" s="7"/>
      <c r="F425" s="7"/>
      <c r="G425" s="8"/>
      <c r="H425" s="6"/>
      <c r="I425" s="9"/>
      <c r="J425" s="10"/>
      <c r="K425" s="8"/>
      <c r="L425" s="6"/>
      <c r="M425" s="11" t="str">
        <f aca="true">IF($D425="","",IF($K425="Completed",IF($L425="",$H425,$L425),IF($H425="","",IF($H425&lt;TODAY(),TODAY(),$H425))))</f>
        <v/>
      </c>
      <c r="N425" s="12" t="str">
        <f aca="true">IF($D425="","",IF($K425="Completed","Completed",IF($H425="","No Due Date",IF($H425&lt;TODAY(),"Carried Forward",IF($H425=TODAY(),"Due Today","Upcoming")))))</f>
        <v/>
      </c>
      <c r="O425" s="5" t="str">
        <f aca="true">IF($D425="","",IF($I425="","",IF($K425="Completed","",$I425-TODAY())))</f>
        <v/>
      </c>
      <c r="P425" s="5" t="str">
        <f aca="true">IF($D425="","",IF($B425="","",IF($K425="Completed",IF($L425="","",$L425-$B425),TODAY()-$B425)))</f>
        <v/>
      </c>
      <c r="Q425" s="5" t="str">
        <f aca="false">IF($D425="","",IF($K425="Completed","",MAX($Q$1:$Q424)+1))</f>
        <v/>
      </c>
      <c r="R425" s="7"/>
    </row>
    <row r="426" customFormat="false" ht="15" hidden="false" customHeight="false" outlineLevel="0" collapsed="false">
      <c r="A426" s="5" t="str">
        <f aca="false">IF($D426="","",ROW()-1)</f>
        <v/>
      </c>
      <c r="B426" s="6"/>
      <c r="C426" s="7"/>
      <c r="D426" s="7"/>
      <c r="E426" s="7"/>
      <c r="F426" s="7"/>
      <c r="G426" s="8"/>
      <c r="H426" s="6"/>
      <c r="I426" s="9"/>
      <c r="J426" s="10"/>
      <c r="K426" s="8"/>
      <c r="L426" s="6"/>
      <c r="M426" s="11" t="str">
        <f aca="true">IF($D426="","",IF($K426="Completed",IF($L426="",$H426,$L426),IF($H426="","",IF($H426&lt;TODAY(),TODAY(),$H426))))</f>
        <v/>
      </c>
      <c r="N426" s="12" t="str">
        <f aca="true">IF($D426="","",IF($K426="Completed","Completed",IF($H426="","No Due Date",IF($H426&lt;TODAY(),"Carried Forward",IF($H426=TODAY(),"Due Today","Upcoming")))))</f>
        <v/>
      </c>
      <c r="O426" s="5" t="str">
        <f aca="true">IF($D426="","",IF($I426="","",IF($K426="Completed","",$I426-TODAY())))</f>
        <v/>
      </c>
      <c r="P426" s="5" t="str">
        <f aca="true">IF($D426="","",IF($B426="","",IF($K426="Completed",IF($L426="","",$L426-$B426),TODAY()-$B426)))</f>
        <v/>
      </c>
      <c r="Q426" s="5" t="str">
        <f aca="false">IF($D426="","",IF($K426="Completed","",MAX($Q$1:$Q425)+1))</f>
        <v/>
      </c>
      <c r="R426" s="7"/>
    </row>
    <row r="427" customFormat="false" ht="15" hidden="false" customHeight="false" outlineLevel="0" collapsed="false">
      <c r="A427" s="5" t="str">
        <f aca="false">IF($D427="","",ROW()-1)</f>
        <v/>
      </c>
      <c r="B427" s="6"/>
      <c r="C427" s="7"/>
      <c r="D427" s="7"/>
      <c r="E427" s="7"/>
      <c r="F427" s="7"/>
      <c r="G427" s="8"/>
      <c r="H427" s="6"/>
      <c r="I427" s="9"/>
      <c r="J427" s="10"/>
      <c r="K427" s="8"/>
      <c r="L427" s="6"/>
      <c r="M427" s="11" t="str">
        <f aca="true">IF($D427="","",IF($K427="Completed",IF($L427="",$H427,$L427),IF($H427="","",IF($H427&lt;TODAY(),TODAY(),$H427))))</f>
        <v/>
      </c>
      <c r="N427" s="12" t="str">
        <f aca="true">IF($D427="","",IF($K427="Completed","Completed",IF($H427="","No Due Date",IF($H427&lt;TODAY(),"Carried Forward",IF($H427=TODAY(),"Due Today","Upcoming")))))</f>
        <v/>
      </c>
      <c r="O427" s="5" t="str">
        <f aca="true">IF($D427="","",IF($I427="","",IF($K427="Completed","",$I427-TODAY())))</f>
        <v/>
      </c>
      <c r="P427" s="5" t="str">
        <f aca="true">IF($D427="","",IF($B427="","",IF($K427="Completed",IF($L427="","",$L427-$B427),TODAY()-$B427)))</f>
        <v/>
      </c>
      <c r="Q427" s="5" t="str">
        <f aca="false">IF($D427="","",IF($K427="Completed","",MAX($Q$1:$Q426)+1))</f>
        <v/>
      </c>
      <c r="R427" s="7"/>
    </row>
    <row r="428" customFormat="false" ht="15" hidden="false" customHeight="false" outlineLevel="0" collapsed="false">
      <c r="A428" s="5" t="str">
        <f aca="false">IF($D428="","",ROW()-1)</f>
        <v/>
      </c>
      <c r="B428" s="6"/>
      <c r="C428" s="7"/>
      <c r="D428" s="7"/>
      <c r="E428" s="7"/>
      <c r="F428" s="7"/>
      <c r="G428" s="8"/>
      <c r="H428" s="6"/>
      <c r="I428" s="9"/>
      <c r="J428" s="10"/>
      <c r="K428" s="8"/>
      <c r="L428" s="6"/>
      <c r="M428" s="11" t="str">
        <f aca="true">IF($D428="","",IF($K428="Completed",IF($L428="",$H428,$L428),IF($H428="","",IF($H428&lt;TODAY(),TODAY(),$H428))))</f>
        <v/>
      </c>
      <c r="N428" s="12" t="str">
        <f aca="true">IF($D428="","",IF($K428="Completed","Completed",IF($H428="","No Due Date",IF($H428&lt;TODAY(),"Carried Forward",IF($H428=TODAY(),"Due Today","Upcoming")))))</f>
        <v/>
      </c>
      <c r="O428" s="5" t="str">
        <f aca="true">IF($D428="","",IF($I428="","",IF($K428="Completed","",$I428-TODAY())))</f>
        <v/>
      </c>
      <c r="P428" s="5" t="str">
        <f aca="true">IF($D428="","",IF($B428="","",IF($K428="Completed",IF($L428="","",$L428-$B428),TODAY()-$B428)))</f>
        <v/>
      </c>
      <c r="Q428" s="5" t="str">
        <f aca="false">IF($D428="","",IF($K428="Completed","",MAX($Q$1:$Q427)+1))</f>
        <v/>
      </c>
      <c r="R428" s="7"/>
    </row>
    <row r="429" customFormat="false" ht="15" hidden="false" customHeight="false" outlineLevel="0" collapsed="false">
      <c r="A429" s="5" t="str">
        <f aca="false">IF($D429="","",ROW()-1)</f>
        <v/>
      </c>
      <c r="B429" s="6"/>
      <c r="C429" s="7"/>
      <c r="D429" s="7"/>
      <c r="E429" s="7"/>
      <c r="F429" s="7"/>
      <c r="G429" s="8"/>
      <c r="H429" s="6"/>
      <c r="I429" s="9"/>
      <c r="J429" s="10"/>
      <c r="K429" s="8"/>
      <c r="L429" s="6"/>
      <c r="M429" s="11" t="str">
        <f aca="true">IF($D429="","",IF($K429="Completed",IF($L429="",$H429,$L429),IF($H429="","",IF($H429&lt;TODAY(),TODAY(),$H429))))</f>
        <v/>
      </c>
      <c r="N429" s="12" t="str">
        <f aca="true">IF($D429="","",IF($K429="Completed","Completed",IF($H429="","No Due Date",IF($H429&lt;TODAY(),"Carried Forward",IF($H429=TODAY(),"Due Today","Upcoming")))))</f>
        <v/>
      </c>
      <c r="O429" s="5" t="str">
        <f aca="true">IF($D429="","",IF($I429="","",IF($K429="Completed","",$I429-TODAY())))</f>
        <v/>
      </c>
      <c r="P429" s="5" t="str">
        <f aca="true">IF($D429="","",IF($B429="","",IF($K429="Completed",IF($L429="","",$L429-$B429),TODAY()-$B429)))</f>
        <v/>
      </c>
      <c r="Q429" s="5" t="str">
        <f aca="false">IF($D429="","",IF($K429="Completed","",MAX($Q$1:$Q428)+1))</f>
        <v/>
      </c>
      <c r="R429" s="7"/>
    </row>
    <row r="430" customFormat="false" ht="15" hidden="false" customHeight="false" outlineLevel="0" collapsed="false">
      <c r="A430" s="5" t="str">
        <f aca="false">IF($D430="","",ROW()-1)</f>
        <v/>
      </c>
      <c r="B430" s="6"/>
      <c r="C430" s="7"/>
      <c r="D430" s="7"/>
      <c r="E430" s="7"/>
      <c r="F430" s="7"/>
      <c r="G430" s="8"/>
      <c r="H430" s="6"/>
      <c r="I430" s="9"/>
      <c r="J430" s="10"/>
      <c r="K430" s="8"/>
      <c r="L430" s="6"/>
      <c r="M430" s="11" t="str">
        <f aca="true">IF($D430="","",IF($K430="Completed",IF($L430="",$H430,$L430),IF($H430="","",IF($H430&lt;TODAY(),TODAY(),$H430))))</f>
        <v/>
      </c>
      <c r="N430" s="12" t="str">
        <f aca="true">IF($D430="","",IF($K430="Completed","Completed",IF($H430="","No Due Date",IF($H430&lt;TODAY(),"Carried Forward",IF($H430=TODAY(),"Due Today","Upcoming")))))</f>
        <v/>
      </c>
      <c r="O430" s="5" t="str">
        <f aca="true">IF($D430="","",IF($I430="","",IF($K430="Completed","",$I430-TODAY())))</f>
        <v/>
      </c>
      <c r="P430" s="5" t="str">
        <f aca="true">IF($D430="","",IF($B430="","",IF($K430="Completed",IF($L430="","",$L430-$B430),TODAY()-$B430)))</f>
        <v/>
      </c>
      <c r="Q430" s="5" t="str">
        <f aca="false">IF($D430="","",IF($K430="Completed","",MAX($Q$1:$Q429)+1))</f>
        <v/>
      </c>
      <c r="R430" s="7"/>
    </row>
    <row r="431" customFormat="false" ht="15" hidden="false" customHeight="false" outlineLevel="0" collapsed="false">
      <c r="A431" s="5" t="str">
        <f aca="false">IF($D431="","",ROW()-1)</f>
        <v/>
      </c>
      <c r="B431" s="6"/>
      <c r="C431" s="7"/>
      <c r="D431" s="7"/>
      <c r="E431" s="7"/>
      <c r="F431" s="7"/>
      <c r="G431" s="8"/>
      <c r="H431" s="6"/>
      <c r="I431" s="9"/>
      <c r="J431" s="10"/>
      <c r="K431" s="8"/>
      <c r="L431" s="6"/>
      <c r="M431" s="11" t="str">
        <f aca="true">IF($D431="","",IF($K431="Completed",IF($L431="",$H431,$L431),IF($H431="","",IF($H431&lt;TODAY(),TODAY(),$H431))))</f>
        <v/>
      </c>
      <c r="N431" s="12" t="str">
        <f aca="true">IF($D431="","",IF($K431="Completed","Completed",IF($H431="","No Due Date",IF($H431&lt;TODAY(),"Carried Forward",IF($H431=TODAY(),"Due Today","Upcoming")))))</f>
        <v/>
      </c>
      <c r="O431" s="5" t="str">
        <f aca="true">IF($D431="","",IF($I431="","",IF($K431="Completed","",$I431-TODAY())))</f>
        <v/>
      </c>
      <c r="P431" s="5" t="str">
        <f aca="true">IF($D431="","",IF($B431="","",IF($K431="Completed",IF($L431="","",$L431-$B431),TODAY()-$B431)))</f>
        <v/>
      </c>
      <c r="Q431" s="5" t="str">
        <f aca="false">IF($D431="","",IF($K431="Completed","",MAX($Q$1:$Q430)+1))</f>
        <v/>
      </c>
      <c r="R431" s="7"/>
    </row>
    <row r="432" customFormat="false" ht="15" hidden="false" customHeight="false" outlineLevel="0" collapsed="false">
      <c r="A432" s="5" t="str">
        <f aca="false">IF($D432="","",ROW()-1)</f>
        <v/>
      </c>
      <c r="B432" s="6"/>
      <c r="C432" s="7"/>
      <c r="D432" s="7"/>
      <c r="E432" s="7"/>
      <c r="F432" s="7"/>
      <c r="G432" s="8"/>
      <c r="H432" s="6"/>
      <c r="I432" s="9"/>
      <c r="J432" s="10"/>
      <c r="K432" s="8"/>
      <c r="L432" s="6"/>
      <c r="M432" s="11" t="str">
        <f aca="true">IF($D432="","",IF($K432="Completed",IF($L432="",$H432,$L432),IF($H432="","",IF($H432&lt;TODAY(),TODAY(),$H432))))</f>
        <v/>
      </c>
      <c r="N432" s="12" t="str">
        <f aca="true">IF($D432="","",IF($K432="Completed","Completed",IF($H432="","No Due Date",IF($H432&lt;TODAY(),"Carried Forward",IF($H432=TODAY(),"Due Today","Upcoming")))))</f>
        <v/>
      </c>
      <c r="O432" s="5" t="str">
        <f aca="true">IF($D432="","",IF($I432="","",IF($K432="Completed","",$I432-TODAY())))</f>
        <v/>
      </c>
      <c r="P432" s="5" t="str">
        <f aca="true">IF($D432="","",IF($B432="","",IF($K432="Completed",IF($L432="","",$L432-$B432),TODAY()-$B432)))</f>
        <v/>
      </c>
      <c r="Q432" s="5" t="str">
        <f aca="false">IF($D432="","",IF($K432="Completed","",MAX($Q$1:$Q431)+1))</f>
        <v/>
      </c>
      <c r="R432" s="7"/>
    </row>
    <row r="433" customFormat="false" ht="15" hidden="false" customHeight="false" outlineLevel="0" collapsed="false">
      <c r="A433" s="5" t="str">
        <f aca="false">IF($D433="","",ROW()-1)</f>
        <v/>
      </c>
      <c r="B433" s="6"/>
      <c r="C433" s="7"/>
      <c r="D433" s="7"/>
      <c r="E433" s="7"/>
      <c r="F433" s="7"/>
      <c r="G433" s="8"/>
      <c r="H433" s="6"/>
      <c r="I433" s="9"/>
      <c r="J433" s="10"/>
      <c r="K433" s="8"/>
      <c r="L433" s="6"/>
      <c r="M433" s="11" t="str">
        <f aca="true">IF($D433="","",IF($K433="Completed",IF($L433="",$H433,$L433),IF($H433="","",IF($H433&lt;TODAY(),TODAY(),$H433))))</f>
        <v/>
      </c>
      <c r="N433" s="12" t="str">
        <f aca="true">IF($D433="","",IF($K433="Completed","Completed",IF($H433="","No Due Date",IF($H433&lt;TODAY(),"Carried Forward",IF($H433=TODAY(),"Due Today","Upcoming")))))</f>
        <v/>
      </c>
      <c r="O433" s="5" t="str">
        <f aca="true">IF($D433="","",IF($I433="","",IF($K433="Completed","",$I433-TODAY())))</f>
        <v/>
      </c>
      <c r="P433" s="5" t="str">
        <f aca="true">IF($D433="","",IF($B433="","",IF($K433="Completed",IF($L433="","",$L433-$B433),TODAY()-$B433)))</f>
        <v/>
      </c>
      <c r="Q433" s="5" t="str">
        <f aca="false">IF($D433="","",IF($K433="Completed","",MAX($Q$1:$Q432)+1))</f>
        <v/>
      </c>
      <c r="R433" s="7"/>
    </row>
    <row r="434" customFormat="false" ht="15" hidden="false" customHeight="false" outlineLevel="0" collapsed="false">
      <c r="A434" s="5" t="str">
        <f aca="false">IF($D434="","",ROW()-1)</f>
        <v/>
      </c>
      <c r="B434" s="6"/>
      <c r="C434" s="7"/>
      <c r="D434" s="7"/>
      <c r="E434" s="7"/>
      <c r="F434" s="7"/>
      <c r="G434" s="8"/>
      <c r="H434" s="6"/>
      <c r="I434" s="9"/>
      <c r="J434" s="10"/>
      <c r="K434" s="8"/>
      <c r="L434" s="6"/>
      <c r="M434" s="11" t="str">
        <f aca="true">IF($D434="","",IF($K434="Completed",IF($L434="",$H434,$L434),IF($H434="","",IF($H434&lt;TODAY(),TODAY(),$H434))))</f>
        <v/>
      </c>
      <c r="N434" s="12" t="str">
        <f aca="true">IF($D434="","",IF($K434="Completed","Completed",IF($H434="","No Due Date",IF($H434&lt;TODAY(),"Carried Forward",IF($H434=TODAY(),"Due Today","Upcoming")))))</f>
        <v/>
      </c>
      <c r="O434" s="5" t="str">
        <f aca="true">IF($D434="","",IF($I434="","",IF($K434="Completed","",$I434-TODAY())))</f>
        <v/>
      </c>
      <c r="P434" s="5" t="str">
        <f aca="true">IF($D434="","",IF($B434="","",IF($K434="Completed",IF($L434="","",$L434-$B434),TODAY()-$B434)))</f>
        <v/>
      </c>
      <c r="Q434" s="5" t="str">
        <f aca="false">IF($D434="","",IF($K434="Completed","",MAX($Q$1:$Q433)+1))</f>
        <v/>
      </c>
      <c r="R434" s="7"/>
    </row>
    <row r="435" customFormat="false" ht="15" hidden="false" customHeight="false" outlineLevel="0" collapsed="false">
      <c r="A435" s="5" t="str">
        <f aca="false">IF($D435="","",ROW()-1)</f>
        <v/>
      </c>
      <c r="B435" s="6"/>
      <c r="C435" s="7"/>
      <c r="D435" s="7"/>
      <c r="E435" s="7"/>
      <c r="F435" s="7"/>
      <c r="G435" s="8"/>
      <c r="H435" s="6"/>
      <c r="I435" s="9"/>
      <c r="J435" s="10"/>
      <c r="K435" s="8"/>
      <c r="L435" s="6"/>
      <c r="M435" s="11" t="str">
        <f aca="true">IF($D435="","",IF($K435="Completed",IF($L435="",$H435,$L435),IF($H435="","",IF($H435&lt;TODAY(),TODAY(),$H435))))</f>
        <v/>
      </c>
      <c r="N435" s="12" t="str">
        <f aca="true">IF($D435="","",IF($K435="Completed","Completed",IF($H435="","No Due Date",IF($H435&lt;TODAY(),"Carried Forward",IF($H435=TODAY(),"Due Today","Upcoming")))))</f>
        <v/>
      </c>
      <c r="O435" s="5" t="str">
        <f aca="true">IF($D435="","",IF($I435="","",IF($K435="Completed","",$I435-TODAY())))</f>
        <v/>
      </c>
      <c r="P435" s="5" t="str">
        <f aca="true">IF($D435="","",IF($B435="","",IF($K435="Completed",IF($L435="","",$L435-$B435),TODAY()-$B435)))</f>
        <v/>
      </c>
      <c r="Q435" s="5" t="str">
        <f aca="false">IF($D435="","",IF($K435="Completed","",MAX($Q$1:$Q434)+1))</f>
        <v/>
      </c>
      <c r="R435" s="7"/>
    </row>
    <row r="436" customFormat="false" ht="15" hidden="false" customHeight="false" outlineLevel="0" collapsed="false">
      <c r="A436" s="5" t="str">
        <f aca="false">IF($D436="","",ROW()-1)</f>
        <v/>
      </c>
      <c r="B436" s="6"/>
      <c r="C436" s="7"/>
      <c r="D436" s="7"/>
      <c r="E436" s="7"/>
      <c r="F436" s="7"/>
      <c r="G436" s="8"/>
      <c r="H436" s="6"/>
      <c r="I436" s="9"/>
      <c r="J436" s="10"/>
      <c r="K436" s="8"/>
      <c r="L436" s="6"/>
      <c r="M436" s="11" t="str">
        <f aca="true">IF($D436="","",IF($K436="Completed",IF($L436="",$H436,$L436),IF($H436="","",IF($H436&lt;TODAY(),TODAY(),$H436))))</f>
        <v/>
      </c>
      <c r="N436" s="12" t="str">
        <f aca="true">IF($D436="","",IF($K436="Completed","Completed",IF($H436="","No Due Date",IF($H436&lt;TODAY(),"Carried Forward",IF($H436=TODAY(),"Due Today","Upcoming")))))</f>
        <v/>
      </c>
      <c r="O436" s="5" t="str">
        <f aca="true">IF($D436="","",IF($I436="","",IF($K436="Completed","",$I436-TODAY())))</f>
        <v/>
      </c>
      <c r="P436" s="5" t="str">
        <f aca="true">IF($D436="","",IF($B436="","",IF($K436="Completed",IF($L436="","",$L436-$B436),TODAY()-$B436)))</f>
        <v/>
      </c>
      <c r="Q436" s="5" t="str">
        <f aca="false">IF($D436="","",IF($K436="Completed","",MAX($Q$1:$Q435)+1))</f>
        <v/>
      </c>
      <c r="R436" s="7"/>
    </row>
    <row r="437" customFormat="false" ht="15" hidden="false" customHeight="false" outlineLevel="0" collapsed="false">
      <c r="A437" s="5" t="str">
        <f aca="false">IF($D437="","",ROW()-1)</f>
        <v/>
      </c>
      <c r="B437" s="6"/>
      <c r="C437" s="7"/>
      <c r="D437" s="7"/>
      <c r="E437" s="7"/>
      <c r="F437" s="7"/>
      <c r="G437" s="8"/>
      <c r="H437" s="6"/>
      <c r="I437" s="9"/>
      <c r="J437" s="10"/>
      <c r="K437" s="8"/>
      <c r="L437" s="6"/>
      <c r="M437" s="11" t="str">
        <f aca="true">IF($D437="","",IF($K437="Completed",IF($L437="",$H437,$L437),IF($H437="","",IF($H437&lt;TODAY(),TODAY(),$H437))))</f>
        <v/>
      </c>
      <c r="N437" s="12" t="str">
        <f aca="true">IF($D437="","",IF($K437="Completed","Completed",IF($H437="","No Due Date",IF($H437&lt;TODAY(),"Carried Forward",IF($H437=TODAY(),"Due Today","Upcoming")))))</f>
        <v/>
      </c>
      <c r="O437" s="5" t="str">
        <f aca="true">IF($D437="","",IF($I437="","",IF($K437="Completed","",$I437-TODAY())))</f>
        <v/>
      </c>
      <c r="P437" s="5" t="str">
        <f aca="true">IF($D437="","",IF($B437="","",IF($K437="Completed",IF($L437="","",$L437-$B437),TODAY()-$B437)))</f>
        <v/>
      </c>
      <c r="Q437" s="5" t="str">
        <f aca="false">IF($D437="","",IF($K437="Completed","",MAX($Q$1:$Q436)+1))</f>
        <v/>
      </c>
      <c r="R437" s="7"/>
    </row>
    <row r="438" customFormat="false" ht="15" hidden="false" customHeight="false" outlineLevel="0" collapsed="false">
      <c r="A438" s="5" t="str">
        <f aca="false">IF($D438="","",ROW()-1)</f>
        <v/>
      </c>
      <c r="B438" s="6"/>
      <c r="C438" s="7"/>
      <c r="D438" s="7"/>
      <c r="E438" s="7"/>
      <c r="F438" s="7"/>
      <c r="G438" s="8"/>
      <c r="H438" s="6"/>
      <c r="I438" s="9"/>
      <c r="J438" s="10"/>
      <c r="K438" s="8"/>
      <c r="L438" s="6"/>
      <c r="M438" s="11" t="str">
        <f aca="true">IF($D438="","",IF($K438="Completed",IF($L438="",$H438,$L438),IF($H438="","",IF($H438&lt;TODAY(),TODAY(),$H438))))</f>
        <v/>
      </c>
      <c r="N438" s="12" t="str">
        <f aca="true">IF($D438="","",IF($K438="Completed","Completed",IF($H438="","No Due Date",IF($H438&lt;TODAY(),"Carried Forward",IF($H438=TODAY(),"Due Today","Upcoming")))))</f>
        <v/>
      </c>
      <c r="O438" s="5" t="str">
        <f aca="true">IF($D438="","",IF($I438="","",IF($K438="Completed","",$I438-TODAY())))</f>
        <v/>
      </c>
      <c r="P438" s="5" t="str">
        <f aca="true">IF($D438="","",IF($B438="","",IF($K438="Completed",IF($L438="","",$L438-$B438),TODAY()-$B438)))</f>
        <v/>
      </c>
      <c r="Q438" s="5" t="str">
        <f aca="false">IF($D438="","",IF($K438="Completed","",MAX($Q$1:$Q437)+1))</f>
        <v/>
      </c>
      <c r="R438" s="7"/>
    </row>
    <row r="439" customFormat="false" ht="15" hidden="false" customHeight="false" outlineLevel="0" collapsed="false">
      <c r="A439" s="5" t="str">
        <f aca="false">IF($D439="","",ROW()-1)</f>
        <v/>
      </c>
      <c r="B439" s="6"/>
      <c r="C439" s="7"/>
      <c r="D439" s="7"/>
      <c r="E439" s="7"/>
      <c r="F439" s="7"/>
      <c r="G439" s="8"/>
      <c r="H439" s="6"/>
      <c r="I439" s="9"/>
      <c r="J439" s="10"/>
      <c r="K439" s="8"/>
      <c r="L439" s="6"/>
      <c r="M439" s="11" t="str">
        <f aca="true">IF($D439="","",IF($K439="Completed",IF($L439="",$H439,$L439),IF($H439="","",IF($H439&lt;TODAY(),TODAY(),$H439))))</f>
        <v/>
      </c>
      <c r="N439" s="12" t="str">
        <f aca="true">IF($D439="","",IF($K439="Completed","Completed",IF($H439="","No Due Date",IF($H439&lt;TODAY(),"Carried Forward",IF($H439=TODAY(),"Due Today","Upcoming")))))</f>
        <v/>
      </c>
      <c r="O439" s="5" t="str">
        <f aca="true">IF($D439="","",IF($I439="","",IF($K439="Completed","",$I439-TODAY())))</f>
        <v/>
      </c>
      <c r="P439" s="5" t="str">
        <f aca="true">IF($D439="","",IF($B439="","",IF($K439="Completed",IF($L439="","",$L439-$B439),TODAY()-$B439)))</f>
        <v/>
      </c>
      <c r="Q439" s="5" t="str">
        <f aca="false">IF($D439="","",IF($K439="Completed","",MAX($Q$1:$Q438)+1))</f>
        <v/>
      </c>
      <c r="R439" s="7"/>
    </row>
    <row r="440" customFormat="false" ht="15" hidden="false" customHeight="false" outlineLevel="0" collapsed="false">
      <c r="A440" s="5" t="str">
        <f aca="false">IF($D440="","",ROW()-1)</f>
        <v/>
      </c>
      <c r="B440" s="6"/>
      <c r="C440" s="7"/>
      <c r="D440" s="7"/>
      <c r="E440" s="7"/>
      <c r="F440" s="7"/>
      <c r="G440" s="8"/>
      <c r="H440" s="6"/>
      <c r="I440" s="9"/>
      <c r="J440" s="10"/>
      <c r="K440" s="8"/>
      <c r="L440" s="6"/>
      <c r="M440" s="11" t="str">
        <f aca="true">IF($D440="","",IF($K440="Completed",IF($L440="",$H440,$L440),IF($H440="","",IF($H440&lt;TODAY(),TODAY(),$H440))))</f>
        <v/>
      </c>
      <c r="N440" s="12" t="str">
        <f aca="true">IF($D440="","",IF($K440="Completed","Completed",IF($H440="","No Due Date",IF($H440&lt;TODAY(),"Carried Forward",IF($H440=TODAY(),"Due Today","Upcoming")))))</f>
        <v/>
      </c>
      <c r="O440" s="5" t="str">
        <f aca="true">IF($D440="","",IF($I440="","",IF($K440="Completed","",$I440-TODAY())))</f>
        <v/>
      </c>
      <c r="P440" s="5" t="str">
        <f aca="true">IF($D440="","",IF($B440="","",IF($K440="Completed",IF($L440="","",$L440-$B440),TODAY()-$B440)))</f>
        <v/>
      </c>
      <c r="Q440" s="5" t="str">
        <f aca="false">IF($D440="","",IF($K440="Completed","",MAX($Q$1:$Q439)+1))</f>
        <v/>
      </c>
      <c r="R440" s="7"/>
    </row>
    <row r="441" customFormat="false" ht="15" hidden="false" customHeight="false" outlineLevel="0" collapsed="false">
      <c r="A441" s="5" t="str">
        <f aca="false">IF($D441="","",ROW()-1)</f>
        <v/>
      </c>
      <c r="B441" s="6"/>
      <c r="C441" s="7"/>
      <c r="D441" s="7"/>
      <c r="E441" s="7"/>
      <c r="F441" s="7"/>
      <c r="G441" s="8"/>
      <c r="H441" s="6"/>
      <c r="I441" s="9"/>
      <c r="J441" s="10"/>
      <c r="K441" s="8"/>
      <c r="L441" s="6"/>
      <c r="M441" s="11" t="str">
        <f aca="true">IF($D441="","",IF($K441="Completed",IF($L441="",$H441,$L441),IF($H441="","",IF($H441&lt;TODAY(),TODAY(),$H441))))</f>
        <v/>
      </c>
      <c r="N441" s="12" t="str">
        <f aca="true">IF($D441="","",IF($K441="Completed","Completed",IF($H441="","No Due Date",IF($H441&lt;TODAY(),"Carried Forward",IF($H441=TODAY(),"Due Today","Upcoming")))))</f>
        <v/>
      </c>
      <c r="O441" s="5" t="str">
        <f aca="true">IF($D441="","",IF($I441="","",IF($K441="Completed","",$I441-TODAY())))</f>
        <v/>
      </c>
      <c r="P441" s="5" t="str">
        <f aca="true">IF($D441="","",IF($B441="","",IF($K441="Completed",IF($L441="","",$L441-$B441),TODAY()-$B441)))</f>
        <v/>
      </c>
      <c r="Q441" s="5" t="str">
        <f aca="false">IF($D441="","",IF($K441="Completed","",MAX($Q$1:$Q440)+1))</f>
        <v/>
      </c>
      <c r="R441" s="7"/>
    </row>
    <row r="442" customFormat="false" ht="15" hidden="false" customHeight="false" outlineLevel="0" collapsed="false">
      <c r="A442" s="5" t="str">
        <f aca="false">IF($D442="","",ROW()-1)</f>
        <v/>
      </c>
      <c r="B442" s="6"/>
      <c r="C442" s="7"/>
      <c r="D442" s="7"/>
      <c r="E442" s="7"/>
      <c r="F442" s="7"/>
      <c r="G442" s="8"/>
      <c r="H442" s="6"/>
      <c r="I442" s="9"/>
      <c r="J442" s="10"/>
      <c r="K442" s="8"/>
      <c r="L442" s="6"/>
      <c r="M442" s="11" t="str">
        <f aca="true">IF($D442="","",IF($K442="Completed",IF($L442="",$H442,$L442),IF($H442="","",IF($H442&lt;TODAY(),TODAY(),$H442))))</f>
        <v/>
      </c>
      <c r="N442" s="12" t="str">
        <f aca="true">IF($D442="","",IF($K442="Completed","Completed",IF($H442="","No Due Date",IF($H442&lt;TODAY(),"Carried Forward",IF($H442=TODAY(),"Due Today","Upcoming")))))</f>
        <v/>
      </c>
      <c r="O442" s="5" t="str">
        <f aca="true">IF($D442="","",IF($I442="","",IF($K442="Completed","",$I442-TODAY())))</f>
        <v/>
      </c>
      <c r="P442" s="5" t="str">
        <f aca="true">IF($D442="","",IF($B442="","",IF($K442="Completed",IF($L442="","",$L442-$B442),TODAY()-$B442)))</f>
        <v/>
      </c>
      <c r="Q442" s="5" t="str">
        <f aca="false">IF($D442="","",IF($K442="Completed","",MAX($Q$1:$Q441)+1))</f>
        <v/>
      </c>
      <c r="R442" s="7"/>
    </row>
    <row r="443" customFormat="false" ht="15" hidden="false" customHeight="false" outlineLevel="0" collapsed="false">
      <c r="A443" s="5" t="str">
        <f aca="false">IF($D443="","",ROW()-1)</f>
        <v/>
      </c>
      <c r="B443" s="6"/>
      <c r="C443" s="7"/>
      <c r="D443" s="7"/>
      <c r="E443" s="7"/>
      <c r="F443" s="7"/>
      <c r="G443" s="8"/>
      <c r="H443" s="6"/>
      <c r="I443" s="9"/>
      <c r="J443" s="10"/>
      <c r="K443" s="8"/>
      <c r="L443" s="6"/>
      <c r="M443" s="11" t="str">
        <f aca="true">IF($D443="","",IF($K443="Completed",IF($L443="",$H443,$L443),IF($H443="","",IF($H443&lt;TODAY(),TODAY(),$H443))))</f>
        <v/>
      </c>
      <c r="N443" s="12" t="str">
        <f aca="true">IF($D443="","",IF($K443="Completed","Completed",IF($H443="","No Due Date",IF($H443&lt;TODAY(),"Carried Forward",IF($H443=TODAY(),"Due Today","Upcoming")))))</f>
        <v/>
      </c>
      <c r="O443" s="5" t="str">
        <f aca="true">IF($D443="","",IF($I443="","",IF($K443="Completed","",$I443-TODAY())))</f>
        <v/>
      </c>
      <c r="P443" s="5" t="str">
        <f aca="true">IF($D443="","",IF($B443="","",IF($K443="Completed",IF($L443="","",$L443-$B443),TODAY()-$B443)))</f>
        <v/>
      </c>
      <c r="Q443" s="5" t="str">
        <f aca="false">IF($D443="","",IF($K443="Completed","",MAX($Q$1:$Q442)+1))</f>
        <v/>
      </c>
      <c r="R443" s="7"/>
    </row>
    <row r="444" customFormat="false" ht="15" hidden="false" customHeight="false" outlineLevel="0" collapsed="false">
      <c r="A444" s="5" t="str">
        <f aca="false">IF($D444="","",ROW()-1)</f>
        <v/>
      </c>
      <c r="B444" s="6"/>
      <c r="C444" s="7"/>
      <c r="D444" s="7"/>
      <c r="E444" s="7"/>
      <c r="F444" s="7"/>
      <c r="G444" s="8"/>
      <c r="H444" s="6"/>
      <c r="I444" s="9"/>
      <c r="J444" s="10"/>
      <c r="K444" s="8"/>
      <c r="L444" s="6"/>
      <c r="M444" s="11" t="str">
        <f aca="true">IF($D444="","",IF($K444="Completed",IF($L444="",$H444,$L444),IF($H444="","",IF($H444&lt;TODAY(),TODAY(),$H444))))</f>
        <v/>
      </c>
      <c r="N444" s="12" t="str">
        <f aca="true">IF($D444="","",IF($K444="Completed","Completed",IF($H444="","No Due Date",IF($H444&lt;TODAY(),"Carried Forward",IF($H444=TODAY(),"Due Today","Upcoming")))))</f>
        <v/>
      </c>
      <c r="O444" s="5" t="str">
        <f aca="true">IF($D444="","",IF($I444="","",IF($K444="Completed","",$I444-TODAY())))</f>
        <v/>
      </c>
      <c r="P444" s="5" t="str">
        <f aca="true">IF($D444="","",IF($B444="","",IF($K444="Completed",IF($L444="","",$L444-$B444),TODAY()-$B444)))</f>
        <v/>
      </c>
      <c r="Q444" s="5" t="str">
        <f aca="false">IF($D444="","",IF($K444="Completed","",MAX($Q$1:$Q443)+1))</f>
        <v/>
      </c>
      <c r="R444" s="7"/>
    </row>
    <row r="445" customFormat="false" ht="15" hidden="false" customHeight="false" outlineLevel="0" collapsed="false">
      <c r="A445" s="5" t="str">
        <f aca="false">IF($D445="","",ROW()-1)</f>
        <v/>
      </c>
      <c r="B445" s="6"/>
      <c r="C445" s="7"/>
      <c r="D445" s="7"/>
      <c r="E445" s="7"/>
      <c r="F445" s="7"/>
      <c r="G445" s="8"/>
      <c r="H445" s="6"/>
      <c r="I445" s="9"/>
      <c r="J445" s="10"/>
      <c r="K445" s="8"/>
      <c r="L445" s="6"/>
      <c r="M445" s="11" t="str">
        <f aca="true">IF($D445="","",IF($K445="Completed",IF($L445="",$H445,$L445),IF($H445="","",IF($H445&lt;TODAY(),TODAY(),$H445))))</f>
        <v/>
      </c>
      <c r="N445" s="12" t="str">
        <f aca="true">IF($D445="","",IF($K445="Completed","Completed",IF($H445="","No Due Date",IF($H445&lt;TODAY(),"Carried Forward",IF($H445=TODAY(),"Due Today","Upcoming")))))</f>
        <v/>
      </c>
      <c r="O445" s="5" t="str">
        <f aca="true">IF($D445="","",IF($I445="","",IF($K445="Completed","",$I445-TODAY())))</f>
        <v/>
      </c>
      <c r="P445" s="5" t="str">
        <f aca="true">IF($D445="","",IF($B445="","",IF($K445="Completed",IF($L445="","",$L445-$B445),TODAY()-$B445)))</f>
        <v/>
      </c>
      <c r="Q445" s="5" t="str">
        <f aca="false">IF($D445="","",IF($K445="Completed","",MAX($Q$1:$Q444)+1))</f>
        <v/>
      </c>
      <c r="R445" s="7"/>
    </row>
    <row r="446" customFormat="false" ht="15" hidden="false" customHeight="false" outlineLevel="0" collapsed="false">
      <c r="A446" s="5" t="str">
        <f aca="false">IF($D446="","",ROW()-1)</f>
        <v/>
      </c>
      <c r="B446" s="6"/>
      <c r="C446" s="7"/>
      <c r="D446" s="7"/>
      <c r="E446" s="7"/>
      <c r="F446" s="7"/>
      <c r="G446" s="8"/>
      <c r="H446" s="6"/>
      <c r="I446" s="9"/>
      <c r="J446" s="10"/>
      <c r="K446" s="8"/>
      <c r="L446" s="6"/>
      <c r="M446" s="11" t="str">
        <f aca="true">IF($D446="","",IF($K446="Completed",IF($L446="",$H446,$L446),IF($H446="","",IF($H446&lt;TODAY(),TODAY(),$H446))))</f>
        <v/>
      </c>
      <c r="N446" s="12" t="str">
        <f aca="true">IF($D446="","",IF($K446="Completed","Completed",IF($H446="","No Due Date",IF($H446&lt;TODAY(),"Carried Forward",IF($H446=TODAY(),"Due Today","Upcoming")))))</f>
        <v/>
      </c>
      <c r="O446" s="5" t="str">
        <f aca="true">IF($D446="","",IF($I446="","",IF($K446="Completed","",$I446-TODAY())))</f>
        <v/>
      </c>
      <c r="P446" s="5" t="str">
        <f aca="true">IF($D446="","",IF($B446="","",IF($K446="Completed",IF($L446="","",$L446-$B446),TODAY()-$B446)))</f>
        <v/>
      </c>
      <c r="Q446" s="5" t="str">
        <f aca="false">IF($D446="","",IF($K446="Completed","",MAX($Q$1:$Q445)+1))</f>
        <v/>
      </c>
      <c r="R446" s="7"/>
    </row>
    <row r="447" customFormat="false" ht="15" hidden="false" customHeight="false" outlineLevel="0" collapsed="false">
      <c r="A447" s="5" t="str">
        <f aca="false">IF($D447="","",ROW()-1)</f>
        <v/>
      </c>
      <c r="B447" s="6"/>
      <c r="C447" s="7"/>
      <c r="D447" s="7"/>
      <c r="E447" s="7"/>
      <c r="F447" s="7"/>
      <c r="G447" s="8"/>
      <c r="H447" s="6"/>
      <c r="I447" s="9"/>
      <c r="J447" s="10"/>
      <c r="K447" s="8"/>
      <c r="L447" s="6"/>
      <c r="M447" s="11" t="str">
        <f aca="true">IF($D447="","",IF($K447="Completed",IF($L447="",$H447,$L447),IF($H447="","",IF($H447&lt;TODAY(),TODAY(),$H447))))</f>
        <v/>
      </c>
      <c r="N447" s="12" t="str">
        <f aca="true">IF($D447="","",IF($K447="Completed","Completed",IF($H447="","No Due Date",IF($H447&lt;TODAY(),"Carried Forward",IF($H447=TODAY(),"Due Today","Upcoming")))))</f>
        <v/>
      </c>
      <c r="O447" s="5" t="str">
        <f aca="true">IF($D447="","",IF($I447="","",IF($K447="Completed","",$I447-TODAY())))</f>
        <v/>
      </c>
      <c r="P447" s="5" t="str">
        <f aca="true">IF($D447="","",IF($B447="","",IF($K447="Completed",IF($L447="","",$L447-$B447),TODAY()-$B447)))</f>
        <v/>
      </c>
      <c r="Q447" s="5" t="str">
        <f aca="false">IF($D447="","",IF($K447="Completed","",MAX($Q$1:$Q446)+1))</f>
        <v/>
      </c>
      <c r="R447" s="7"/>
    </row>
    <row r="448" customFormat="false" ht="15" hidden="false" customHeight="false" outlineLevel="0" collapsed="false">
      <c r="A448" s="5" t="str">
        <f aca="false">IF($D448="","",ROW()-1)</f>
        <v/>
      </c>
      <c r="B448" s="6"/>
      <c r="C448" s="7"/>
      <c r="D448" s="7"/>
      <c r="E448" s="7"/>
      <c r="F448" s="7"/>
      <c r="G448" s="8"/>
      <c r="H448" s="6"/>
      <c r="I448" s="9"/>
      <c r="J448" s="10"/>
      <c r="K448" s="8"/>
      <c r="L448" s="6"/>
      <c r="M448" s="11" t="str">
        <f aca="true">IF($D448="","",IF($K448="Completed",IF($L448="",$H448,$L448),IF($H448="","",IF($H448&lt;TODAY(),TODAY(),$H448))))</f>
        <v/>
      </c>
      <c r="N448" s="12" t="str">
        <f aca="true">IF($D448="","",IF($K448="Completed","Completed",IF($H448="","No Due Date",IF($H448&lt;TODAY(),"Carried Forward",IF($H448=TODAY(),"Due Today","Upcoming")))))</f>
        <v/>
      </c>
      <c r="O448" s="5" t="str">
        <f aca="true">IF($D448="","",IF($I448="","",IF($K448="Completed","",$I448-TODAY())))</f>
        <v/>
      </c>
      <c r="P448" s="5" t="str">
        <f aca="true">IF($D448="","",IF($B448="","",IF($K448="Completed",IF($L448="","",$L448-$B448),TODAY()-$B448)))</f>
        <v/>
      </c>
      <c r="Q448" s="5" t="str">
        <f aca="false">IF($D448="","",IF($K448="Completed","",MAX($Q$1:$Q447)+1))</f>
        <v/>
      </c>
      <c r="R448" s="7"/>
    </row>
    <row r="449" customFormat="false" ht="15" hidden="false" customHeight="false" outlineLevel="0" collapsed="false">
      <c r="A449" s="5" t="str">
        <f aca="false">IF($D449="","",ROW()-1)</f>
        <v/>
      </c>
      <c r="B449" s="6"/>
      <c r="C449" s="7"/>
      <c r="D449" s="7"/>
      <c r="E449" s="7"/>
      <c r="F449" s="7"/>
      <c r="G449" s="8"/>
      <c r="H449" s="6"/>
      <c r="I449" s="9"/>
      <c r="J449" s="10"/>
      <c r="K449" s="8"/>
      <c r="L449" s="6"/>
      <c r="M449" s="11" t="str">
        <f aca="true">IF($D449="","",IF($K449="Completed",IF($L449="",$H449,$L449),IF($H449="","",IF($H449&lt;TODAY(),TODAY(),$H449))))</f>
        <v/>
      </c>
      <c r="N449" s="12" t="str">
        <f aca="true">IF($D449="","",IF($K449="Completed","Completed",IF($H449="","No Due Date",IF($H449&lt;TODAY(),"Carried Forward",IF($H449=TODAY(),"Due Today","Upcoming")))))</f>
        <v/>
      </c>
      <c r="O449" s="5" t="str">
        <f aca="true">IF($D449="","",IF($I449="","",IF($K449="Completed","",$I449-TODAY())))</f>
        <v/>
      </c>
      <c r="P449" s="5" t="str">
        <f aca="true">IF($D449="","",IF($B449="","",IF($K449="Completed",IF($L449="","",$L449-$B449),TODAY()-$B449)))</f>
        <v/>
      </c>
      <c r="Q449" s="5" t="str">
        <f aca="false">IF($D449="","",IF($K449="Completed","",MAX($Q$1:$Q448)+1))</f>
        <v/>
      </c>
      <c r="R449" s="7"/>
    </row>
    <row r="450" customFormat="false" ht="15" hidden="false" customHeight="false" outlineLevel="0" collapsed="false">
      <c r="A450" s="5" t="str">
        <f aca="false">IF($D450="","",ROW()-1)</f>
        <v/>
      </c>
      <c r="B450" s="6"/>
      <c r="C450" s="7"/>
      <c r="D450" s="7"/>
      <c r="E450" s="7"/>
      <c r="F450" s="7"/>
      <c r="G450" s="8"/>
      <c r="H450" s="6"/>
      <c r="I450" s="9"/>
      <c r="J450" s="10"/>
      <c r="K450" s="8"/>
      <c r="L450" s="6"/>
      <c r="M450" s="11" t="str">
        <f aca="true">IF($D450="","",IF($K450="Completed",IF($L450="",$H450,$L450),IF($H450="","",IF($H450&lt;TODAY(),TODAY(),$H450))))</f>
        <v/>
      </c>
      <c r="N450" s="12" t="str">
        <f aca="true">IF($D450="","",IF($K450="Completed","Completed",IF($H450="","No Due Date",IF($H450&lt;TODAY(),"Carried Forward",IF($H450=TODAY(),"Due Today","Upcoming")))))</f>
        <v/>
      </c>
      <c r="O450" s="5" t="str">
        <f aca="true">IF($D450="","",IF($I450="","",IF($K450="Completed","",$I450-TODAY())))</f>
        <v/>
      </c>
      <c r="P450" s="5" t="str">
        <f aca="true">IF($D450="","",IF($B450="","",IF($K450="Completed",IF($L450="","",$L450-$B450),TODAY()-$B450)))</f>
        <v/>
      </c>
      <c r="Q450" s="5" t="str">
        <f aca="false">IF($D450="","",IF($K450="Completed","",MAX($Q$1:$Q449)+1))</f>
        <v/>
      </c>
      <c r="R450" s="7"/>
    </row>
    <row r="451" customFormat="false" ht="15" hidden="false" customHeight="false" outlineLevel="0" collapsed="false">
      <c r="A451" s="5" t="str">
        <f aca="false">IF($D451="","",ROW()-1)</f>
        <v/>
      </c>
      <c r="B451" s="6"/>
      <c r="C451" s="7"/>
      <c r="D451" s="7"/>
      <c r="E451" s="7"/>
      <c r="F451" s="7"/>
      <c r="G451" s="8"/>
      <c r="H451" s="6"/>
      <c r="I451" s="9"/>
      <c r="J451" s="10"/>
      <c r="K451" s="8"/>
      <c r="L451" s="6"/>
      <c r="M451" s="11" t="str">
        <f aca="true">IF($D451="","",IF($K451="Completed",IF($L451="",$H451,$L451),IF($H451="","",IF($H451&lt;TODAY(),TODAY(),$H451))))</f>
        <v/>
      </c>
      <c r="N451" s="12" t="str">
        <f aca="true">IF($D451="","",IF($K451="Completed","Completed",IF($H451="","No Due Date",IF($H451&lt;TODAY(),"Carried Forward",IF($H451=TODAY(),"Due Today","Upcoming")))))</f>
        <v/>
      </c>
      <c r="O451" s="5" t="str">
        <f aca="true">IF($D451="","",IF($I451="","",IF($K451="Completed","",$I451-TODAY())))</f>
        <v/>
      </c>
      <c r="P451" s="5" t="str">
        <f aca="true">IF($D451="","",IF($B451="","",IF($K451="Completed",IF($L451="","",$L451-$B451),TODAY()-$B451)))</f>
        <v/>
      </c>
      <c r="Q451" s="5" t="str">
        <f aca="false">IF($D451="","",IF($K451="Completed","",MAX($Q$1:$Q450)+1))</f>
        <v/>
      </c>
      <c r="R451" s="7"/>
    </row>
    <row r="452" customFormat="false" ht="15" hidden="false" customHeight="false" outlineLevel="0" collapsed="false">
      <c r="A452" s="5" t="str">
        <f aca="false">IF($D452="","",ROW()-1)</f>
        <v/>
      </c>
      <c r="B452" s="6"/>
      <c r="C452" s="7"/>
      <c r="D452" s="7"/>
      <c r="E452" s="7"/>
      <c r="F452" s="7"/>
      <c r="G452" s="8"/>
      <c r="H452" s="6"/>
      <c r="I452" s="9"/>
      <c r="J452" s="10"/>
      <c r="K452" s="8"/>
      <c r="L452" s="6"/>
      <c r="M452" s="11" t="str">
        <f aca="true">IF($D452="","",IF($K452="Completed",IF($L452="",$H452,$L452),IF($H452="","",IF($H452&lt;TODAY(),TODAY(),$H452))))</f>
        <v/>
      </c>
      <c r="N452" s="12" t="str">
        <f aca="true">IF($D452="","",IF($K452="Completed","Completed",IF($H452="","No Due Date",IF($H452&lt;TODAY(),"Carried Forward",IF($H452=TODAY(),"Due Today","Upcoming")))))</f>
        <v/>
      </c>
      <c r="O452" s="5" t="str">
        <f aca="true">IF($D452="","",IF($I452="","",IF($K452="Completed","",$I452-TODAY())))</f>
        <v/>
      </c>
      <c r="P452" s="5" t="str">
        <f aca="true">IF($D452="","",IF($B452="","",IF($K452="Completed",IF($L452="","",$L452-$B452),TODAY()-$B452)))</f>
        <v/>
      </c>
      <c r="Q452" s="5" t="str">
        <f aca="false">IF($D452="","",IF($K452="Completed","",MAX($Q$1:$Q451)+1))</f>
        <v/>
      </c>
      <c r="R452" s="7"/>
    </row>
    <row r="453" customFormat="false" ht="15" hidden="false" customHeight="false" outlineLevel="0" collapsed="false">
      <c r="A453" s="5" t="str">
        <f aca="false">IF($D453="","",ROW()-1)</f>
        <v/>
      </c>
      <c r="B453" s="6"/>
      <c r="C453" s="7"/>
      <c r="D453" s="7"/>
      <c r="E453" s="7"/>
      <c r="F453" s="7"/>
      <c r="G453" s="8"/>
      <c r="H453" s="6"/>
      <c r="I453" s="9"/>
      <c r="J453" s="10"/>
      <c r="K453" s="8"/>
      <c r="L453" s="6"/>
      <c r="M453" s="11" t="str">
        <f aca="true">IF($D453="","",IF($K453="Completed",IF($L453="",$H453,$L453),IF($H453="","",IF($H453&lt;TODAY(),TODAY(),$H453))))</f>
        <v/>
      </c>
      <c r="N453" s="12" t="str">
        <f aca="true">IF($D453="","",IF($K453="Completed","Completed",IF($H453="","No Due Date",IF($H453&lt;TODAY(),"Carried Forward",IF($H453=TODAY(),"Due Today","Upcoming")))))</f>
        <v/>
      </c>
      <c r="O453" s="5" t="str">
        <f aca="true">IF($D453="","",IF($I453="","",IF($K453="Completed","",$I453-TODAY())))</f>
        <v/>
      </c>
      <c r="P453" s="5" t="str">
        <f aca="true">IF($D453="","",IF($B453="","",IF($K453="Completed",IF($L453="","",$L453-$B453),TODAY()-$B453)))</f>
        <v/>
      </c>
      <c r="Q453" s="5" t="str">
        <f aca="false">IF($D453="","",IF($K453="Completed","",MAX($Q$1:$Q452)+1))</f>
        <v/>
      </c>
      <c r="R453" s="7"/>
    </row>
    <row r="454" customFormat="false" ht="15" hidden="false" customHeight="false" outlineLevel="0" collapsed="false">
      <c r="A454" s="5" t="str">
        <f aca="false">IF($D454="","",ROW()-1)</f>
        <v/>
      </c>
      <c r="B454" s="6"/>
      <c r="C454" s="7"/>
      <c r="D454" s="7"/>
      <c r="E454" s="7"/>
      <c r="F454" s="7"/>
      <c r="G454" s="8"/>
      <c r="H454" s="6"/>
      <c r="I454" s="9"/>
      <c r="J454" s="10"/>
      <c r="K454" s="8"/>
      <c r="L454" s="6"/>
      <c r="M454" s="11" t="str">
        <f aca="true">IF($D454="","",IF($K454="Completed",IF($L454="",$H454,$L454),IF($H454="","",IF($H454&lt;TODAY(),TODAY(),$H454))))</f>
        <v/>
      </c>
      <c r="N454" s="12" t="str">
        <f aca="true">IF($D454="","",IF($K454="Completed","Completed",IF($H454="","No Due Date",IF($H454&lt;TODAY(),"Carried Forward",IF($H454=TODAY(),"Due Today","Upcoming")))))</f>
        <v/>
      </c>
      <c r="O454" s="5" t="str">
        <f aca="true">IF($D454="","",IF($I454="","",IF($K454="Completed","",$I454-TODAY())))</f>
        <v/>
      </c>
      <c r="P454" s="5" t="str">
        <f aca="true">IF($D454="","",IF($B454="","",IF($K454="Completed",IF($L454="","",$L454-$B454),TODAY()-$B454)))</f>
        <v/>
      </c>
      <c r="Q454" s="5" t="str">
        <f aca="false">IF($D454="","",IF($K454="Completed","",MAX($Q$1:$Q453)+1))</f>
        <v/>
      </c>
      <c r="R454" s="7"/>
    </row>
    <row r="455" customFormat="false" ht="15" hidden="false" customHeight="false" outlineLevel="0" collapsed="false">
      <c r="A455" s="5" t="str">
        <f aca="false">IF($D455="","",ROW()-1)</f>
        <v/>
      </c>
      <c r="B455" s="6"/>
      <c r="C455" s="7"/>
      <c r="D455" s="7"/>
      <c r="E455" s="7"/>
      <c r="F455" s="7"/>
      <c r="G455" s="8"/>
      <c r="H455" s="6"/>
      <c r="I455" s="9"/>
      <c r="J455" s="10"/>
      <c r="K455" s="8"/>
      <c r="L455" s="6"/>
      <c r="M455" s="11" t="str">
        <f aca="true">IF($D455="","",IF($K455="Completed",IF($L455="",$H455,$L455),IF($H455="","",IF($H455&lt;TODAY(),TODAY(),$H455))))</f>
        <v/>
      </c>
      <c r="N455" s="12" t="str">
        <f aca="true">IF($D455="","",IF($K455="Completed","Completed",IF($H455="","No Due Date",IF($H455&lt;TODAY(),"Carried Forward",IF($H455=TODAY(),"Due Today","Upcoming")))))</f>
        <v/>
      </c>
      <c r="O455" s="5" t="str">
        <f aca="true">IF($D455="","",IF($I455="","",IF($K455="Completed","",$I455-TODAY())))</f>
        <v/>
      </c>
      <c r="P455" s="5" t="str">
        <f aca="true">IF($D455="","",IF($B455="","",IF($K455="Completed",IF($L455="","",$L455-$B455),TODAY()-$B455)))</f>
        <v/>
      </c>
      <c r="Q455" s="5" t="str">
        <f aca="false">IF($D455="","",IF($K455="Completed","",MAX($Q$1:$Q454)+1))</f>
        <v/>
      </c>
      <c r="R455" s="7"/>
    </row>
    <row r="456" customFormat="false" ht="15" hidden="false" customHeight="false" outlineLevel="0" collapsed="false">
      <c r="A456" s="5" t="str">
        <f aca="false">IF($D456="","",ROW()-1)</f>
        <v/>
      </c>
      <c r="B456" s="6"/>
      <c r="C456" s="7"/>
      <c r="D456" s="7"/>
      <c r="E456" s="7"/>
      <c r="F456" s="7"/>
      <c r="G456" s="8"/>
      <c r="H456" s="6"/>
      <c r="I456" s="9"/>
      <c r="J456" s="10"/>
      <c r="K456" s="8"/>
      <c r="L456" s="6"/>
      <c r="M456" s="11" t="str">
        <f aca="true">IF($D456="","",IF($K456="Completed",IF($L456="",$H456,$L456),IF($H456="","",IF($H456&lt;TODAY(),TODAY(),$H456))))</f>
        <v/>
      </c>
      <c r="N456" s="12" t="str">
        <f aca="true">IF($D456="","",IF($K456="Completed","Completed",IF($H456="","No Due Date",IF($H456&lt;TODAY(),"Carried Forward",IF($H456=TODAY(),"Due Today","Upcoming")))))</f>
        <v/>
      </c>
      <c r="O456" s="5" t="str">
        <f aca="true">IF($D456="","",IF($I456="","",IF($K456="Completed","",$I456-TODAY())))</f>
        <v/>
      </c>
      <c r="P456" s="5" t="str">
        <f aca="true">IF($D456="","",IF($B456="","",IF($K456="Completed",IF($L456="","",$L456-$B456),TODAY()-$B456)))</f>
        <v/>
      </c>
      <c r="Q456" s="5" t="str">
        <f aca="false">IF($D456="","",IF($K456="Completed","",MAX($Q$1:$Q455)+1))</f>
        <v/>
      </c>
      <c r="R456" s="7"/>
    </row>
    <row r="457" customFormat="false" ht="15" hidden="false" customHeight="false" outlineLevel="0" collapsed="false">
      <c r="A457" s="5" t="str">
        <f aca="false">IF($D457="","",ROW()-1)</f>
        <v/>
      </c>
      <c r="B457" s="6"/>
      <c r="C457" s="7"/>
      <c r="D457" s="7"/>
      <c r="E457" s="7"/>
      <c r="F457" s="7"/>
      <c r="G457" s="8"/>
      <c r="H457" s="6"/>
      <c r="I457" s="9"/>
      <c r="J457" s="10"/>
      <c r="K457" s="8"/>
      <c r="L457" s="6"/>
      <c r="M457" s="11" t="str">
        <f aca="true">IF($D457="","",IF($K457="Completed",IF($L457="",$H457,$L457),IF($H457="","",IF($H457&lt;TODAY(),TODAY(),$H457))))</f>
        <v/>
      </c>
      <c r="N457" s="12" t="str">
        <f aca="true">IF($D457="","",IF($K457="Completed","Completed",IF($H457="","No Due Date",IF($H457&lt;TODAY(),"Carried Forward",IF($H457=TODAY(),"Due Today","Upcoming")))))</f>
        <v/>
      </c>
      <c r="O457" s="5" t="str">
        <f aca="true">IF($D457="","",IF($I457="","",IF($K457="Completed","",$I457-TODAY())))</f>
        <v/>
      </c>
      <c r="P457" s="5" t="str">
        <f aca="true">IF($D457="","",IF($B457="","",IF($K457="Completed",IF($L457="","",$L457-$B457),TODAY()-$B457)))</f>
        <v/>
      </c>
      <c r="Q457" s="5" t="str">
        <f aca="false">IF($D457="","",IF($K457="Completed","",MAX($Q$1:$Q456)+1))</f>
        <v/>
      </c>
      <c r="R457" s="7"/>
    </row>
    <row r="458" customFormat="false" ht="15" hidden="false" customHeight="false" outlineLevel="0" collapsed="false">
      <c r="A458" s="5" t="str">
        <f aca="false">IF($D458="","",ROW()-1)</f>
        <v/>
      </c>
      <c r="B458" s="6"/>
      <c r="C458" s="7"/>
      <c r="D458" s="7"/>
      <c r="E458" s="7"/>
      <c r="F458" s="7"/>
      <c r="G458" s="8"/>
      <c r="H458" s="6"/>
      <c r="I458" s="9"/>
      <c r="J458" s="10"/>
      <c r="K458" s="8"/>
      <c r="L458" s="6"/>
      <c r="M458" s="11" t="str">
        <f aca="true">IF($D458="","",IF($K458="Completed",IF($L458="",$H458,$L458),IF($H458="","",IF($H458&lt;TODAY(),TODAY(),$H458))))</f>
        <v/>
      </c>
      <c r="N458" s="12" t="str">
        <f aca="true">IF($D458="","",IF($K458="Completed","Completed",IF($H458="","No Due Date",IF($H458&lt;TODAY(),"Carried Forward",IF($H458=TODAY(),"Due Today","Upcoming")))))</f>
        <v/>
      </c>
      <c r="O458" s="5" t="str">
        <f aca="true">IF($D458="","",IF($I458="","",IF($K458="Completed","",$I458-TODAY())))</f>
        <v/>
      </c>
      <c r="P458" s="5" t="str">
        <f aca="true">IF($D458="","",IF($B458="","",IF($K458="Completed",IF($L458="","",$L458-$B458),TODAY()-$B458)))</f>
        <v/>
      </c>
      <c r="Q458" s="5" t="str">
        <f aca="false">IF($D458="","",IF($K458="Completed","",MAX($Q$1:$Q457)+1))</f>
        <v/>
      </c>
      <c r="R458" s="7"/>
    </row>
    <row r="459" customFormat="false" ht="15" hidden="false" customHeight="false" outlineLevel="0" collapsed="false">
      <c r="A459" s="5" t="str">
        <f aca="false">IF($D459="","",ROW()-1)</f>
        <v/>
      </c>
      <c r="B459" s="6"/>
      <c r="C459" s="7"/>
      <c r="D459" s="7"/>
      <c r="E459" s="7"/>
      <c r="F459" s="7"/>
      <c r="G459" s="8"/>
      <c r="H459" s="6"/>
      <c r="I459" s="9"/>
      <c r="J459" s="10"/>
      <c r="K459" s="8"/>
      <c r="L459" s="6"/>
      <c r="M459" s="11" t="str">
        <f aca="true">IF($D459="","",IF($K459="Completed",IF($L459="",$H459,$L459),IF($H459="","",IF($H459&lt;TODAY(),TODAY(),$H459))))</f>
        <v/>
      </c>
      <c r="N459" s="12" t="str">
        <f aca="true">IF($D459="","",IF($K459="Completed","Completed",IF($H459="","No Due Date",IF($H459&lt;TODAY(),"Carried Forward",IF($H459=TODAY(),"Due Today","Upcoming")))))</f>
        <v/>
      </c>
      <c r="O459" s="5" t="str">
        <f aca="true">IF($D459="","",IF($I459="","",IF($K459="Completed","",$I459-TODAY())))</f>
        <v/>
      </c>
      <c r="P459" s="5" t="str">
        <f aca="true">IF($D459="","",IF($B459="","",IF($K459="Completed",IF($L459="","",$L459-$B459),TODAY()-$B459)))</f>
        <v/>
      </c>
      <c r="Q459" s="5" t="str">
        <f aca="false">IF($D459="","",IF($K459="Completed","",MAX($Q$1:$Q458)+1))</f>
        <v/>
      </c>
      <c r="R459" s="7"/>
    </row>
    <row r="460" customFormat="false" ht="15" hidden="false" customHeight="false" outlineLevel="0" collapsed="false">
      <c r="A460" s="5" t="str">
        <f aca="false">IF($D460="","",ROW()-1)</f>
        <v/>
      </c>
      <c r="B460" s="6"/>
      <c r="C460" s="7"/>
      <c r="D460" s="7"/>
      <c r="E460" s="7"/>
      <c r="F460" s="7"/>
      <c r="G460" s="8"/>
      <c r="H460" s="6"/>
      <c r="I460" s="9"/>
      <c r="J460" s="10"/>
      <c r="K460" s="8"/>
      <c r="L460" s="6"/>
      <c r="M460" s="11" t="str">
        <f aca="true">IF($D460="","",IF($K460="Completed",IF($L460="",$H460,$L460),IF($H460="","",IF($H460&lt;TODAY(),TODAY(),$H460))))</f>
        <v/>
      </c>
      <c r="N460" s="12" t="str">
        <f aca="true">IF($D460="","",IF($K460="Completed","Completed",IF($H460="","No Due Date",IF($H460&lt;TODAY(),"Carried Forward",IF($H460=TODAY(),"Due Today","Upcoming")))))</f>
        <v/>
      </c>
      <c r="O460" s="5" t="str">
        <f aca="true">IF($D460="","",IF($I460="","",IF($K460="Completed","",$I460-TODAY())))</f>
        <v/>
      </c>
      <c r="P460" s="5" t="str">
        <f aca="true">IF($D460="","",IF($B460="","",IF($K460="Completed",IF($L460="","",$L460-$B460),TODAY()-$B460)))</f>
        <v/>
      </c>
      <c r="Q460" s="5" t="str">
        <f aca="false">IF($D460="","",IF($K460="Completed","",MAX($Q$1:$Q459)+1))</f>
        <v/>
      </c>
      <c r="R460" s="7"/>
    </row>
    <row r="461" customFormat="false" ht="15" hidden="false" customHeight="false" outlineLevel="0" collapsed="false">
      <c r="A461" s="5" t="str">
        <f aca="false">IF($D461="","",ROW()-1)</f>
        <v/>
      </c>
      <c r="B461" s="6"/>
      <c r="C461" s="7"/>
      <c r="D461" s="7"/>
      <c r="E461" s="7"/>
      <c r="F461" s="7"/>
      <c r="G461" s="8"/>
      <c r="H461" s="6"/>
      <c r="I461" s="9"/>
      <c r="J461" s="10"/>
      <c r="K461" s="8"/>
      <c r="L461" s="6"/>
      <c r="M461" s="11" t="str">
        <f aca="true">IF($D461="","",IF($K461="Completed",IF($L461="",$H461,$L461),IF($H461="","",IF($H461&lt;TODAY(),TODAY(),$H461))))</f>
        <v/>
      </c>
      <c r="N461" s="12" t="str">
        <f aca="true">IF($D461="","",IF($K461="Completed","Completed",IF($H461="","No Due Date",IF($H461&lt;TODAY(),"Carried Forward",IF($H461=TODAY(),"Due Today","Upcoming")))))</f>
        <v/>
      </c>
      <c r="O461" s="5" t="str">
        <f aca="true">IF($D461="","",IF($I461="","",IF($K461="Completed","",$I461-TODAY())))</f>
        <v/>
      </c>
      <c r="P461" s="5" t="str">
        <f aca="true">IF($D461="","",IF($B461="","",IF($K461="Completed",IF($L461="","",$L461-$B461),TODAY()-$B461)))</f>
        <v/>
      </c>
      <c r="Q461" s="5" t="str">
        <f aca="false">IF($D461="","",IF($K461="Completed","",MAX($Q$1:$Q460)+1))</f>
        <v/>
      </c>
      <c r="R461" s="7"/>
    </row>
    <row r="462" customFormat="false" ht="15" hidden="false" customHeight="false" outlineLevel="0" collapsed="false">
      <c r="A462" s="5" t="str">
        <f aca="false">IF($D462="","",ROW()-1)</f>
        <v/>
      </c>
      <c r="B462" s="6"/>
      <c r="C462" s="7"/>
      <c r="D462" s="7"/>
      <c r="E462" s="7"/>
      <c r="F462" s="7"/>
      <c r="G462" s="8"/>
      <c r="H462" s="6"/>
      <c r="I462" s="9"/>
      <c r="J462" s="10"/>
      <c r="K462" s="8"/>
      <c r="L462" s="6"/>
      <c r="M462" s="11" t="str">
        <f aca="true">IF($D462="","",IF($K462="Completed",IF($L462="",$H462,$L462),IF($H462="","",IF($H462&lt;TODAY(),TODAY(),$H462))))</f>
        <v/>
      </c>
      <c r="N462" s="12" t="str">
        <f aca="true">IF($D462="","",IF($K462="Completed","Completed",IF($H462="","No Due Date",IF($H462&lt;TODAY(),"Carried Forward",IF($H462=TODAY(),"Due Today","Upcoming")))))</f>
        <v/>
      </c>
      <c r="O462" s="5" t="str">
        <f aca="true">IF($D462="","",IF($I462="","",IF($K462="Completed","",$I462-TODAY())))</f>
        <v/>
      </c>
      <c r="P462" s="5" t="str">
        <f aca="true">IF($D462="","",IF($B462="","",IF($K462="Completed",IF($L462="","",$L462-$B462),TODAY()-$B462)))</f>
        <v/>
      </c>
      <c r="Q462" s="5" t="str">
        <f aca="false">IF($D462="","",IF($K462="Completed","",MAX($Q$1:$Q461)+1))</f>
        <v/>
      </c>
      <c r="R462" s="7"/>
    </row>
    <row r="463" customFormat="false" ht="15" hidden="false" customHeight="false" outlineLevel="0" collapsed="false">
      <c r="A463" s="5" t="str">
        <f aca="false">IF($D463="","",ROW()-1)</f>
        <v/>
      </c>
      <c r="B463" s="6"/>
      <c r="C463" s="7"/>
      <c r="D463" s="7"/>
      <c r="E463" s="7"/>
      <c r="F463" s="7"/>
      <c r="G463" s="8"/>
      <c r="H463" s="6"/>
      <c r="I463" s="9"/>
      <c r="J463" s="10"/>
      <c r="K463" s="8"/>
      <c r="L463" s="6"/>
      <c r="M463" s="11" t="str">
        <f aca="true">IF($D463="","",IF($K463="Completed",IF($L463="",$H463,$L463),IF($H463="","",IF($H463&lt;TODAY(),TODAY(),$H463))))</f>
        <v/>
      </c>
      <c r="N463" s="12" t="str">
        <f aca="true">IF($D463="","",IF($K463="Completed","Completed",IF($H463="","No Due Date",IF($H463&lt;TODAY(),"Carried Forward",IF($H463=TODAY(),"Due Today","Upcoming")))))</f>
        <v/>
      </c>
      <c r="O463" s="5" t="str">
        <f aca="true">IF($D463="","",IF($I463="","",IF($K463="Completed","",$I463-TODAY())))</f>
        <v/>
      </c>
      <c r="P463" s="5" t="str">
        <f aca="true">IF($D463="","",IF($B463="","",IF($K463="Completed",IF($L463="","",$L463-$B463),TODAY()-$B463)))</f>
        <v/>
      </c>
      <c r="Q463" s="5" t="str">
        <f aca="false">IF($D463="","",IF($K463="Completed","",MAX($Q$1:$Q462)+1))</f>
        <v/>
      </c>
      <c r="R463" s="7"/>
    </row>
    <row r="464" customFormat="false" ht="15" hidden="false" customHeight="false" outlineLevel="0" collapsed="false">
      <c r="A464" s="5" t="str">
        <f aca="false">IF($D464="","",ROW()-1)</f>
        <v/>
      </c>
      <c r="B464" s="6"/>
      <c r="C464" s="7"/>
      <c r="D464" s="7"/>
      <c r="E464" s="7"/>
      <c r="F464" s="7"/>
      <c r="G464" s="8"/>
      <c r="H464" s="6"/>
      <c r="I464" s="9"/>
      <c r="J464" s="10"/>
      <c r="K464" s="8"/>
      <c r="L464" s="6"/>
      <c r="M464" s="11" t="str">
        <f aca="true">IF($D464="","",IF($K464="Completed",IF($L464="",$H464,$L464),IF($H464="","",IF($H464&lt;TODAY(),TODAY(),$H464))))</f>
        <v/>
      </c>
      <c r="N464" s="12" t="str">
        <f aca="true">IF($D464="","",IF($K464="Completed","Completed",IF($H464="","No Due Date",IF($H464&lt;TODAY(),"Carried Forward",IF($H464=TODAY(),"Due Today","Upcoming")))))</f>
        <v/>
      </c>
      <c r="O464" s="5" t="str">
        <f aca="true">IF($D464="","",IF($I464="","",IF($K464="Completed","",$I464-TODAY())))</f>
        <v/>
      </c>
      <c r="P464" s="5" t="str">
        <f aca="true">IF($D464="","",IF($B464="","",IF($K464="Completed",IF($L464="","",$L464-$B464),TODAY()-$B464)))</f>
        <v/>
      </c>
      <c r="Q464" s="5" t="str">
        <f aca="false">IF($D464="","",IF($K464="Completed","",MAX($Q$1:$Q463)+1))</f>
        <v/>
      </c>
      <c r="R464" s="7"/>
    </row>
    <row r="465" customFormat="false" ht="15" hidden="false" customHeight="false" outlineLevel="0" collapsed="false">
      <c r="A465" s="5" t="str">
        <f aca="false">IF($D465="","",ROW()-1)</f>
        <v/>
      </c>
      <c r="B465" s="6"/>
      <c r="C465" s="7"/>
      <c r="D465" s="7"/>
      <c r="E465" s="7"/>
      <c r="F465" s="7"/>
      <c r="G465" s="8"/>
      <c r="H465" s="6"/>
      <c r="I465" s="9"/>
      <c r="J465" s="10"/>
      <c r="K465" s="8"/>
      <c r="L465" s="6"/>
      <c r="M465" s="11" t="str">
        <f aca="true">IF($D465="","",IF($K465="Completed",IF($L465="",$H465,$L465),IF($H465="","",IF($H465&lt;TODAY(),TODAY(),$H465))))</f>
        <v/>
      </c>
      <c r="N465" s="12" t="str">
        <f aca="true">IF($D465="","",IF($K465="Completed","Completed",IF($H465="","No Due Date",IF($H465&lt;TODAY(),"Carried Forward",IF($H465=TODAY(),"Due Today","Upcoming")))))</f>
        <v/>
      </c>
      <c r="O465" s="5" t="str">
        <f aca="true">IF($D465="","",IF($I465="","",IF($K465="Completed","",$I465-TODAY())))</f>
        <v/>
      </c>
      <c r="P465" s="5" t="str">
        <f aca="true">IF($D465="","",IF($B465="","",IF($K465="Completed",IF($L465="","",$L465-$B465),TODAY()-$B465)))</f>
        <v/>
      </c>
      <c r="Q465" s="5" t="str">
        <f aca="false">IF($D465="","",IF($K465="Completed","",MAX($Q$1:$Q464)+1))</f>
        <v/>
      </c>
      <c r="R465" s="7"/>
    </row>
    <row r="466" customFormat="false" ht="15" hidden="false" customHeight="false" outlineLevel="0" collapsed="false">
      <c r="A466" s="5" t="str">
        <f aca="false">IF($D466="","",ROW()-1)</f>
        <v/>
      </c>
      <c r="B466" s="6"/>
      <c r="C466" s="7"/>
      <c r="D466" s="7"/>
      <c r="E466" s="7"/>
      <c r="F466" s="7"/>
      <c r="G466" s="8"/>
      <c r="H466" s="6"/>
      <c r="I466" s="9"/>
      <c r="J466" s="10"/>
      <c r="K466" s="8"/>
      <c r="L466" s="6"/>
      <c r="M466" s="11" t="str">
        <f aca="true">IF($D466="","",IF($K466="Completed",IF($L466="",$H466,$L466),IF($H466="","",IF($H466&lt;TODAY(),TODAY(),$H466))))</f>
        <v/>
      </c>
      <c r="N466" s="12" t="str">
        <f aca="true">IF($D466="","",IF($K466="Completed","Completed",IF($H466="","No Due Date",IF($H466&lt;TODAY(),"Carried Forward",IF($H466=TODAY(),"Due Today","Upcoming")))))</f>
        <v/>
      </c>
      <c r="O466" s="5" t="str">
        <f aca="true">IF($D466="","",IF($I466="","",IF($K466="Completed","",$I466-TODAY())))</f>
        <v/>
      </c>
      <c r="P466" s="5" t="str">
        <f aca="true">IF($D466="","",IF($B466="","",IF($K466="Completed",IF($L466="","",$L466-$B466),TODAY()-$B466)))</f>
        <v/>
      </c>
      <c r="Q466" s="5" t="str">
        <f aca="false">IF($D466="","",IF($K466="Completed","",MAX($Q$1:$Q465)+1))</f>
        <v/>
      </c>
      <c r="R466" s="7"/>
    </row>
    <row r="467" customFormat="false" ht="15" hidden="false" customHeight="false" outlineLevel="0" collapsed="false">
      <c r="A467" s="5" t="str">
        <f aca="false">IF($D467="","",ROW()-1)</f>
        <v/>
      </c>
      <c r="B467" s="6"/>
      <c r="C467" s="7"/>
      <c r="D467" s="7"/>
      <c r="E467" s="7"/>
      <c r="F467" s="7"/>
      <c r="G467" s="8"/>
      <c r="H467" s="6"/>
      <c r="I467" s="9"/>
      <c r="J467" s="10"/>
      <c r="K467" s="8"/>
      <c r="L467" s="6"/>
      <c r="M467" s="11" t="str">
        <f aca="true">IF($D467="","",IF($K467="Completed",IF($L467="",$H467,$L467),IF($H467="","",IF($H467&lt;TODAY(),TODAY(),$H467))))</f>
        <v/>
      </c>
      <c r="N467" s="12" t="str">
        <f aca="true">IF($D467="","",IF($K467="Completed","Completed",IF($H467="","No Due Date",IF($H467&lt;TODAY(),"Carried Forward",IF($H467=TODAY(),"Due Today","Upcoming")))))</f>
        <v/>
      </c>
      <c r="O467" s="5" t="str">
        <f aca="true">IF($D467="","",IF($I467="","",IF($K467="Completed","",$I467-TODAY())))</f>
        <v/>
      </c>
      <c r="P467" s="5" t="str">
        <f aca="true">IF($D467="","",IF($B467="","",IF($K467="Completed",IF($L467="","",$L467-$B467),TODAY()-$B467)))</f>
        <v/>
      </c>
      <c r="Q467" s="5" t="str">
        <f aca="false">IF($D467="","",IF($K467="Completed","",MAX($Q$1:$Q466)+1))</f>
        <v/>
      </c>
      <c r="R467" s="7"/>
    </row>
    <row r="468" customFormat="false" ht="15" hidden="false" customHeight="false" outlineLevel="0" collapsed="false">
      <c r="A468" s="5" t="str">
        <f aca="false">IF($D468="","",ROW()-1)</f>
        <v/>
      </c>
      <c r="B468" s="6"/>
      <c r="C468" s="7"/>
      <c r="D468" s="7"/>
      <c r="E468" s="7"/>
      <c r="F468" s="7"/>
      <c r="G468" s="8"/>
      <c r="H468" s="6"/>
      <c r="I468" s="9"/>
      <c r="J468" s="10"/>
      <c r="K468" s="8"/>
      <c r="L468" s="6"/>
      <c r="M468" s="11" t="str">
        <f aca="true">IF($D468="","",IF($K468="Completed",IF($L468="",$H468,$L468),IF($H468="","",IF($H468&lt;TODAY(),TODAY(),$H468))))</f>
        <v/>
      </c>
      <c r="N468" s="12" t="str">
        <f aca="true">IF($D468="","",IF($K468="Completed","Completed",IF($H468="","No Due Date",IF($H468&lt;TODAY(),"Carried Forward",IF($H468=TODAY(),"Due Today","Upcoming")))))</f>
        <v/>
      </c>
      <c r="O468" s="5" t="str">
        <f aca="true">IF($D468="","",IF($I468="","",IF($K468="Completed","",$I468-TODAY())))</f>
        <v/>
      </c>
      <c r="P468" s="5" t="str">
        <f aca="true">IF($D468="","",IF($B468="","",IF($K468="Completed",IF($L468="","",$L468-$B468),TODAY()-$B468)))</f>
        <v/>
      </c>
      <c r="Q468" s="5" t="str">
        <f aca="false">IF($D468="","",IF($K468="Completed","",MAX($Q$1:$Q467)+1))</f>
        <v/>
      </c>
      <c r="R468" s="7"/>
    </row>
    <row r="469" customFormat="false" ht="15" hidden="false" customHeight="false" outlineLevel="0" collapsed="false">
      <c r="A469" s="5" t="str">
        <f aca="false">IF($D469="","",ROW()-1)</f>
        <v/>
      </c>
      <c r="B469" s="6"/>
      <c r="C469" s="7"/>
      <c r="D469" s="7"/>
      <c r="E469" s="7"/>
      <c r="F469" s="7"/>
      <c r="G469" s="8"/>
      <c r="H469" s="6"/>
      <c r="I469" s="9"/>
      <c r="J469" s="10"/>
      <c r="K469" s="8"/>
      <c r="L469" s="6"/>
      <c r="M469" s="11" t="str">
        <f aca="true">IF($D469="","",IF($K469="Completed",IF($L469="",$H469,$L469),IF($H469="","",IF($H469&lt;TODAY(),TODAY(),$H469))))</f>
        <v/>
      </c>
      <c r="N469" s="12" t="str">
        <f aca="true">IF($D469="","",IF($K469="Completed","Completed",IF($H469="","No Due Date",IF($H469&lt;TODAY(),"Carried Forward",IF($H469=TODAY(),"Due Today","Upcoming")))))</f>
        <v/>
      </c>
      <c r="O469" s="5" t="str">
        <f aca="true">IF($D469="","",IF($I469="","",IF($K469="Completed","",$I469-TODAY())))</f>
        <v/>
      </c>
      <c r="P469" s="5" t="str">
        <f aca="true">IF($D469="","",IF($B469="","",IF($K469="Completed",IF($L469="","",$L469-$B469),TODAY()-$B469)))</f>
        <v/>
      </c>
      <c r="Q469" s="5" t="str">
        <f aca="false">IF($D469="","",IF($K469="Completed","",MAX($Q$1:$Q468)+1))</f>
        <v/>
      </c>
      <c r="R469" s="7"/>
    </row>
    <row r="470" customFormat="false" ht="15" hidden="false" customHeight="false" outlineLevel="0" collapsed="false">
      <c r="A470" s="5" t="str">
        <f aca="false">IF($D470="","",ROW()-1)</f>
        <v/>
      </c>
      <c r="B470" s="6"/>
      <c r="C470" s="7"/>
      <c r="D470" s="7"/>
      <c r="E470" s="7"/>
      <c r="F470" s="7"/>
      <c r="G470" s="8"/>
      <c r="H470" s="6"/>
      <c r="I470" s="9"/>
      <c r="J470" s="10"/>
      <c r="K470" s="8"/>
      <c r="L470" s="6"/>
      <c r="M470" s="11" t="str">
        <f aca="true">IF($D470="","",IF($K470="Completed",IF($L470="",$H470,$L470),IF($H470="","",IF($H470&lt;TODAY(),TODAY(),$H470))))</f>
        <v/>
      </c>
      <c r="N470" s="12" t="str">
        <f aca="true">IF($D470="","",IF($K470="Completed","Completed",IF($H470="","No Due Date",IF($H470&lt;TODAY(),"Carried Forward",IF($H470=TODAY(),"Due Today","Upcoming")))))</f>
        <v/>
      </c>
      <c r="O470" s="5" t="str">
        <f aca="true">IF($D470="","",IF($I470="","",IF($K470="Completed","",$I470-TODAY())))</f>
        <v/>
      </c>
      <c r="P470" s="5" t="str">
        <f aca="true">IF($D470="","",IF($B470="","",IF($K470="Completed",IF($L470="","",$L470-$B470),TODAY()-$B470)))</f>
        <v/>
      </c>
      <c r="Q470" s="5" t="str">
        <f aca="false">IF($D470="","",IF($K470="Completed","",MAX($Q$1:$Q469)+1))</f>
        <v/>
      </c>
      <c r="R470" s="7"/>
    </row>
    <row r="471" customFormat="false" ht="15" hidden="false" customHeight="false" outlineLevel="0" collapsed="false">
      <c r="A471" s="5" t="str">
        <f aca="false">IF($D471="","",ROW()-1)</f>
        <v/>
      </c>
      <c r="B471" s="6"/>
      <c r="C471" s="7"/>
      <c r="D471" s="7"/>
      <c r="E471" s="7"/>
      <c r="F471" s="7"/>
      <c r="G471" s="8"/>
      <c r="H471" s="6"/>
      <c r="I471" s="9"/>
      <c r="J471" s="10"/>
      <c r="K471" s="8"/>
      <c r="L471" s="6"/>
      <c r="M471" s="11" t="str">
        <f aca="true">IF($D471="","",IF($K471="Completed",IF($L471="",$H471,$L471),IF($H471="","",IF($H471&lt;TODAY(),TODAY(),$H471))))</f>
        <v/>
      </c>
      <c r="N471" s="12" t="str">
        <f aca="true">IF($D471="","",IF($K471="Completed","Completed",IF($H471="","No Due Date",IF($H471&lt;TODAY(),"Carried Forward",IF($H471=TODAY(),"Due Today","Upcoming")))))</f>
        <v/>
      </c>
      <c r="O471" s="5" t="str">
        <f aca="true">IF($D471="","",IF($I471="","",IF($K471="Completed","",$I471-TODAY())))</f>
        <v/>
      </c>
      <c r="P471" s="5" t="str">
        <f aca="true">IF($D471="","",IF($B471="","",IF($K471="Completed",IF($L471="","",$L471-$B471),TODAY()-$B471)))</f>
        <v/>
      </c>
      <c r="Q471" s="5" t="str">
        <f aca="false">IF($D471="","",IF($K471="Completed","",MAX($Q$1:$Q470)+1))</f>
        <v/>
      </c>
      <c r="R471" s="7"/>
    </row>
    <row r="472" customFormat="false" ht="15" hidden="false" customHeight="false" outlineLevel="0" collapsed="false">
      <c r="A472" s="5" t="str">
        <f aca="false">IF($D472="","",ROW()-1)</f>
        <v/>
      </c>
      <c r="B472" s="6"/>
      <c r="C472" s="7"/>
      <c r="D472" s="7"/>
      <c r="E472" s="7"/>
      <c r="F472" s="7"/>
      <c r="G472" s="8"/>
      <c r="H472" s="6"/>
      <c r="I472" s="9"/>
      <c r="J472" s="10"/>
      <c r="K472" s="8"/>
      <c r="L472" s="6"/>
      <c r="M472" s="11" t="str">
        <f aca="true">IF($D472="","",IF($K472="Completed",IF($L472="",$H472,$L472),IF($H472="","",IF($H472&lt;TODAY(),TODAY(),$H472))))</f>
        <v/>
      </c>
      <c r="N472" s="12" t="str">
        <f aca="true">IF($D472="","",IF($K472="Completed","Completed",IF($H472="","No Due Date",IF($H472&lt;TODAY(),"Carried Forward",IF($H472=TODAY(),"Due Today","Upcoming")))))</f>
        <v/>
      </c>
      <c r="O472" s="5" t="str">
        <f aca="true">IF($D472="","",IF($I472="","",IF($K472="Completed","",$I472-TODAY())))</f>
        <v/>
      </c>
      <c r="P472" s="5" t="str">
        <f aca="true">IF($D472="","",IF($B472="","",IF($K472="Completed",IF($L472="","",$L472-$B472),TODAY()-$B472)))</f>
        <v/>
      </c>
      <c r="Q472" s="5" t="str">
        <f aca="false">IF($D472="","",IF($K472="Completed","",MAX($Q$1:$Q471)+1))</f>
        <v/>
      </c>
      <c r="R472" s="7"/>
    </row>
    <row r="473" customFormat="false" ht="15" hidden="false" customHeight="false" outlineLevel="0" collapsed="false">
      <c r="A473" s="5" t="str">
        <f aca="false">IF($D473="","",ROW()-1)</f>
        <v/>
      </c>
      <c r="B473" s="6"/>
      <c r="C473" s="7"/>
      <c r="D473" s="7"/>
      <c r="E473" s="7"/>
      <c r="F473" s="7"/>
      <c r="G473" s="8"/>
      <c r="H473" s="6"/>
      <c r="I473" s="9"/>
      <c r="J473" s="10"/>
      <c r="K473" s="8"/>
      <c r="L473" s="6"/>
      <c r="M473" s="11" t="str">
        <f aca="true">IF($D473="","",IF($K473="Completed",IF($L473="",$H473,$L473),IF($H473="","",IF($H473&lt;TODAY(),TODAY(),$H473))))</f>
        <v/>
      </c>
      <c r="N473" s="12" t="str">
        <f aca="true">IF($D473="","",IF($K473="Completed","Completed",IF($H473="","No Due Date",IF($H473&lt;TODAY(),"Carried Forward",IF($H473=TODAY(),"Due Today","Upcoming")))))</f>
        <v/>
      </c>
      <c r="O473" s="5" t="str">
        <f aca="true">IF($D473="","",IF($I473="","",IF($K473="Completed","",$I473-TODAY())))</f>
        <v/>
      </c>
      <c r="P473" s="5" t="str">
        <f aca="true">IF($D473="","",IF($B473="","",IF($K473="Completed",IF($L473="","",$L473-$B473),TODAY()-$B473)))</f>
        <v/>
      </c>
      <c r="Q473" s="5" t="str">
        <f aca="false">IF($D473="","",IF($K473="Completed","",MAX($Q$1:$Q472)+1))</f>
        <v/>
      </c>
      <c r="R473" s="7"/>
    </row>
    <row r="474" customFormat="false" ht="15" hidden="false" customHeight="false" outlineLevel="0" collapsed="false">
      <c r="A474" s="5" t="str">
        <f aca="false">IF($D474="","",ROW()-1)</f>
        <v/>
      </c>
      <c r="B474" s="6"/>
      <c r="C474" s="7"/>
      <c r="D474" s="7"/>
      <c r="E474" s="7"/>
      <c r="F474" s="7"/>
      <c r="G474" s="8"/>
      <c r="H474" s="6"/>
      <c r="I474" s="9"/>
      <c r="J474" s="10"/>
      <c r="K474" s="8"/>
      <c r="L474" s="6"/>
      <c r="M474" s="11" t="str">
        <f aca="true">IF($D474="","",IF($K474="Completed",IF($L474="",$H474,$L474),IF($H474="","",IF($H474&lt;TODAY(),TODAY(),$H474))))</f>
        <v/>
      </c>
      <c r="N474" s="12" t="str">
        <f aca="true">IF($D474="","",IF($K474="Completed","Completed",IF($H474="","No Due Date",IF($H474&lt;TODAY(),"Carried Forward",IF($H474=TODAY(),"Due Today","Upcoming")))))</f>
        <v/>
      </c>
      <c r="O474" s="5" t="str">
        <f aca="true">IF($D474="","",IF($I474="","",IF($K474="Completed","",$I474-TODAY())))</f>
        <v/>
      </c>
      <c r="P474" s="5" t="str">
        <f aca="true">IF($D474="","",IF($B474="","",IF($K474="Completed",IF($L474="","",$L474-$B474),TODAY()-$B474)))</f>
        <v/>
      </c>
      <c r="Q474" s="5" t="str">
        <f aca="false">IF($D474="","",IF($K474="Completed","",MAX($Q$1:$Q473)+1))</f>
        <v/>
      </c>
      <c r="R474" s="7"/>
    </row>
    <row r="475" customFormat="false" ht="15" hidden="false" customHeight="false" outlineLevel="0" collapsed="false">
      <c r="A475" s="5" t="str">
        <f aca="false">IF($D475="","",ROW()-1)</f>
        <v/>
      </c>
      <c r="B475" s="6"/>
      <c r="C475" s="7"/>
      <c r="D475" s="7"/>
      <c r="E475" s="7"/>
      <c r="F475" s="7"/>
      <c r="G475" s="8"/>
      <c r="H475" s="6"/>
      <c r="I475" s="9"/>
      <c r="J475" s="10"/>
      <c r="K475" s="8"/>
      <c r="L475" s="6"/>
      <c r="M475" s="11" t="str">
        <f aca="true">IF($D475="","",IF($K475="Completed",IF($L475="",$H475,$L475),IF($H475="","",IF($H475&lt;TODAY(),TODAY(),$H475))))</f>
        <v/>
      </c>
      <c r="N475" s="12" t="str">
        <f aca="true">IF($D475="","",IF($K475="Completed","Completed",IF($H475="","No Due Date",IF($H475&lt;TODAY(),"Carried Forward",IF($H475=TODAY(),"Due Today","Upcoming")))))</f>
        <v/>
      </c>
      <c r="O475" s="5" t="str">
        <f aca="true">IF($D475="","",IF($I475="","",IF($K475="Completed","",$I475-TODAY())))</f>
        <v/>
      </c>
      <c r="P475" s="5" t="str">
        <f aca="true">IF($D475="","",IF($B475="","",IF($K475="Completed",IF($L475="","",$L475-$B475),TODAY()-$B475)))</f>
        <v/>
      </c>
      <c r="Q475" s="5" t="str">
        <f aca="false">IF($D475="","",IF($K475="Completed","",MAX($Q$1:$Q474)+1))</f>
        <v/>
      </c>
      <c r="R475" s="7"/>
    </row>
    <row r="476" customFormat="false" ht="15" hidden="false" customHeight="false" outlineLevel="0" collapsed="false">
      <c r="A476" s="5" t="str">
        <f aca="false">IF($D476="","",ROW()-1)</f>
        <v/>
      </c>
      <c r="B476" s="6"/>
      <c r="C476" s="7"/>
      <c r="D476" s="7"/>
      <c r="E476" s="7"/>
      <c r="F476" s="7"/>
      <c r="G476" s="8"/>
      <c r="H476" s="6"/>
      <c r="I476" s="9"/>
      <c r="J476" s="10"/>
      <c r="K476" s="8"/>
      <c r="L476" s="6"/>
      <c r="M476" s="11" t="str">
        <f aca="true">IF($D476="","",IF($K476="Completed",IF($L476="",$H476,$L476),IF($H476="","",IF($H476&lt;TODAY(),TODAY(),$H476))))</f>
        <v/>
      </c>
      <c r="N476" s="12" t="str">
        <f aca="true">IF($D476="","",IF($K476="Completed","Completed",IF($H476="","No Due Date",IF($H476&lt;TODAY(),"Carried Forward",IF($H476=TODAY(),"Due Today","Upcoming")))))</f>
        <v/>
      </c>
      <c r="O476" s="5" t="str">
        <f aca="true">IF($D476="","",IF($I476="","",IF($K476="Completed","",$I476-TODAY())))</f>
        <v/>
      </c>
      <c r="P476" s="5" t="str">
        <f aca="true">IF($D476="","",IF($B476="","",IF($K476="Completed",IF($L476="","",$L476-$B476),TODAY()-$B476)))</f>
        <v/>
      </c>
      <c r="Q476" s="5" t="str">
        <f aca="false">IF($D476="","",IF($K476="Completed","",MAX($Q$1:$Q475)+1))</f>
        <v/>
      </c>
      <c r="R476" s="7"/>
    </row>
    <row r="477" customFormat="false" ht="15" hidden="false" customHeight="false" outlineLevel="0" collapsed="false">
      <c r="A477" s="5" t="str">
        <f aca="false">IF($D477="","",ROW()-1)</f>
        <v/>
      </c>
      <c r="B477" s="6"/>
      <c r="C477" s="7"/>
      <c r="D477" s="7"/>
      <c r="E477" s="7"/>
      <c r="F477" s="7"/>
      <c r="G477" s="8"/>
      <c r="H477" s="6"/>
      <c r="I477" s="9"/>
      <c r="J477" s="10"/>
      <c r="K477" s="8"/>
      <c r="L477" s="6"/>
      <c r="M477" s="11" t="str">
        <f aca="true">IF($D477="","",IF($K477="Completed",IF($L477="",$H477,$L477),IF($H477="","",IF($H477&lt;TODAY(),TODAY(),$H477))))</f>
        <v/>
      </c>
      <c r="N477" s="12" t="str">
        <f aca="true">IF($D477="","",IF($K477="Completed","Completed",IF($H477="","No Due Date",IF($H477&lt;TODAY(),"Carried Forward",IF($H477=TODAY(),"Due Today","Upcoming")))))</f>
        <v/>
      </c>
      <c r="O477" s="5" t="str">
        <f aca="true">IF($D477="","",IF($I477="","",IF($K477="Completed","",$I477-TODAY())))</f>
        <v/>
      </c>
      <c r="P477" s="5" t="str">
        <f aca="true">IF($D477="","",IF($B477="","",IF($K477="Completed",IF($L477="","",$L477-$B477),TODAY()-$B477)))</f>
        <v/>
      </c>
      <c r="Q477" s="5" t="str">
        <f aca="false">IF($D477="","",IF($K477="Completed","",MAX($Q$1:$Q476)+1))</f>
        <v/>
      </c>
      <c r="R477" s="7"/>
    </row>
    <row r="478" customFormat="false" ht="15" hidden="false" customHeight="false" outlineLevel="0" collapsed="false">
      <c r="A478" s="5" t="str">
        <f aca="false">IF($D478="","",ROW()-1)</f>
        <v/>
      </c>
      <c r="B478" s="6"/>
      <c r="C478" s="7"/>
      <c r="D478" s="7"/>
      <c r="E478" s="7"/>
      <c r="F478" s="7"/>
      <c r="G478" s="8"/>
      <c r="H478" s="6"/>
      <c r="I478" s="9"/>
      <c r="J478" s="10"/>
      <c r="K478" s="8"/>
      <c r="L478" s="6"/>
      <c r="M478" s="11" t="str">
        <f aca="true">IF($D478="","",IF($K478="Completed",IF($L478="",$H478,$L478),IF($H478="","",IF($H478&lt;TODAY(),TODAY(),$H478))))</f>
        <v/>
      </c>
      <c r="N478" s="12" t="str">
        <f aca="true">IF($D478="","",IF($K478="Completed","Completed",IF($H478="","No Due Date",IF($H478&lt;TODAY(),"Carried Forward",IF($H478=TODAY(),"Due Today","Upcoming")))))</f>
        <v/>
      </c>
      <c r="O478" s="5" t="str">
        <f aca="true">IF($D478="","",IF($I478="","",IF($K478="Completed","",$I478-TODAY())))</f>
        <v/>
      </c>
      <c r="P478" s="5" t="str">
        <f aca="true">IF($D478="","",IF($B478="","",IF($K478="Completed",IF($L478="","",$L478-$B478),TODAY()-$B478)))</f>
        <v/>
      </c>
      <c r="Q478" s="5" t="str">
        <f aca="false">IF($D478="","",IF($K478="Completed","",MAX($Q$1:$Q477)+1))</f>
        <v/>
      </c>
      <c r="R478" s="7"/>
    </row>
    <row r="479" customFormat="false" ht="15" hidden="false" customHeight="false" outlineLevel="0" collapsed="false">
      <c r="A479" s="5" t="str">
        <f aca="false">IF($D479="","",ROW()-1)</f>
        <v/>
      </c>
      <c r="B479" s="6"/>
      <c r="C479" s="7"/>
      <c r="D479" s="7"/>
      <c r="E479" s="7"/>
      <c r="F479" s="7"/>
      <c r="G479" s="8"/>
      <c r="H479" s="6"/>
      <c r="I479" s="9"/>
      <c r="J479" s="10"/>
      <c r="K479" s="8"/>
      <c r="L479" s="6"/>
      <c r="M479" s="11" t="str">
        <f aca="true">IF($D479="","",IF($K479="Completed",IF($L479="",$H479,$L479),IF($H479="","",IF($H479&lt;TODAY(),TODAY(),$H479))))</f>
        <v/>
      </c>
      <c r="N479" s="12" t="str">
        <f aca="true">IF($D479="","",IF($K479="Completed","Completed",IF($H479="","No Due Date",IF($H479&lt;TODAY(),"Carried Forward",IF($H479=TODAY(),"Due Today","Upcoming")))))</f>
        <v/>
      </c>
      <c r="O479" s="5" t="str">
        <f aca="true">IF($D479="","",IF($I479="","",IF($K479="Completed","",$I479-TODAY())))</f>
        <v/>
      </c>
      <c r="P479" s="5" t="str">
        <f aca="true">IF($D479="","",IF($B479="","",IF($K479="Completed",IF($L479="","",$L479-$B479),TODAY()-$B479)))</f>
        <v/>
      </c>
      <c r="Q479" s="5" t="str">
        <f aca="false">IF($D479="","",IF($K479="Completed","",MAX($Q$1:$Q478)+1))</f>
        <v/>
      </c>
      <c r="R479" s="7"/>
    </row>
    <row r="480" customFormat="false" ht="15" hidden="false" customHeight="false" outlineLevel="0" collapsed="false">
      <c r="A480" s="5" t="str">
        <f aca="false">IF($D480="","",ROW()-1)</f>
        <v/>
      </c>
      <c r="B480" s="6"/>
      <c r="C480" s="7"/>
      <c r="D480" s="7"/>
      <c r="E480" s="7"/>
      <c r="F480" s="7"/>
      <c r="G480" s="8"/>
      <c r="H480" s="6"/>
      <c r="I480" s="9"/>
      <c r="J480" s="10"/>
      <c r="K480" s="8"/>
      <c r="L480" s="6"/>
      <c r="M480" s="11" t="str">
        <f aca="true">IF($D480="","",IF($K480="Completed",IF($L480="",$H480,$L480),IF($H480="","",IF($H480&lt;TODAY(),TODAY(),$H480))))</f>
        <v/>
      </c>
      <c r="N480" s="12" t="str">
        <f aca="true">IF($D480="","",IF($K480="Completed","Completed",IF($H480="","No Due Date",IF($H480&lt;TODAY(),"Carried Forward",IF($H480=TODAY(),"Due Today","Upcoming")))))</f>
        <v/>
      </c>
      <c r="O480" s="5" t="str">
        <f aca="true">IF($D480="","",IF($I480="","",IF($K480="Completed","",$I480-TODAY())))</f>
        <v/>
      </c>
      <c r="P480" s="5" t="str">
        <f aca="true">IF($D480="","",IF($B480="","",IF($K480="Completed",IF($L480="","",$L480-$B480),TODAY()-$B480)))</f>
        <v/>
      </c>
      <c r="Q480" s="5" t="str">
        <f aca="false">IF($D480="","",IF($K480="Completed","",MAX($Q$1:$Q479)+1))</f>
        <v/>
      </c>
      <c r="R480" s="7"/>
    </row>
    <row r="481" customFormat="false" ht="15" hidden="false" customHeight="false" outlineLevel="0" collapsed="false">
      <c r="A481" s="5" t="str">
        <f aca="false">IF($D481="","",ROW()-1)</f>
        <v/>
      </c>
      <c r="B481" s="6"/>
      <c r="C481" s="7"/>
      <c r="D481" s="7"/>
      <c r="E481" s="7"/>
      <c r="F481" s="7"/>
      <c r="G481" s="8"/>
      <c r="H481" s="6"/>
      <c r="I481" s="9"/>
      <c r="J481" s="10"/>
      <c r="K481" s="8"/>
      <c r="L481" s="6"/>
      <c r="M481" s="11" t="str">
        <f aca="true">IF($D481="","",IF($K481="Completed",IF($L481="",$H481,$L481),IF($H481="","",IF($H481&lt;TODAY(),TODAY(),$H481))))</f>
        <v/>
      </c>
      <c r="N481" s="12" t="str">
        <f aca="true">IF($D481="","",IF($K481="Completed","Completed",IF($H481="","No Due Date",IF($H481&lt;TODAY(),"Carried Forward",IF($H481=TODAY(),"Due Today","Upcoming")))))</f>
        <v/>
      </c>
      <c r="O481" s="5" t="str">
        <f aca="true">IF($D481="","",IF($I481="","",IF($K481="Completed","",$I481-TODAY())))</f>
        <v/>
      </c>
      <c r="P481" s="5" t="str">
        <f aca="true">IF($D481="","",IF($B481="","",IF($K481="Completed",IF($L481="","",$L481-$B481),TODAY()-$B481)))</f>
        <v/>
      </c>
      <c r="Q481" s="5" t="str">
        <f aca="false">IF($D481="","",IF($K481="Completed","",MAX($Q$1:$Q480)+1))</f>
        <v/>
      </c>
      <c r="R481" s="7"/>
    </row>
    <row r="482" customFormat="false" ht="15" hidden="false" customHeight="false" outlineLevel="0" collapsed="false">
      <c r="A482" s="5" t="str">
        <f aca="false">IF($D482="","",ROW()-1)</f>
        <v/>
      </c>
      <c r="B482" s="6"/>
      <c r="C482" s="7"/>
      <c r="D482" s="7"/>
      <c r="E482" s="7"/>
      <c r="F482" s="7"/>
      <c r="G482" s="8"/>
      <c r="H482" s="6"/>
      <c r="I482" s="9"/>
      <c r="J482" s="10"/>
      <c r="K482" s="8"/>
      <c r="L482" s="6"/>
      <c r="M482" s="11" t="str">
        <f aca="true">IF($D482="","",IF($K482="Completed",IF($L482="",$H482,$L482),IF($H482="","",IF($H482&lt;TODAY(),TODAY(),$H482))))</f>
        <v/>
      </c>
      <c r="N482" s="12" t="str">
        <f aca="true">IF($D482="","",IF($K482="Completed","Completed",IF($H482="","No Due Date",IF($H482&lt;TODAY(),"Carried Forward",IF($H482=TODAY(),"Due Today","Upcoming")))))</f>
        <v/>
      </c>
      <c r="O482" s="5" t="str">
        <f aca="true">IF($D482="","",IF($I482="","",IF($K482="Completed","",$I482-TODAY())))</f>
        <v/>
      </c>
      <c r="P482" s="5" t="str">
        <f aca="true">IF($D482="","",IF($B482="","",IF($K482="Completed",IF($L482="","",$L482-$B482),TODAY()-$B482)))</f>
        <v/>
      </c>
      <c r="Q482" s="5" t="str">
        <f aca="false">IF($D482="","",IF($K482="Completed","",MAX($Q$1:$Q481)+1))</f>
        <v/>
      </c>
      <c r="R482" s="7"/>
    </row>
    <row r="483" customFormat="false" ht="15" hidden="false" customHeight="false" outlineLevel="0" collapsed="false">
      <c r="A483" s="5" t="str">
        <f aca="false">IF($D483="","",ROW()-1)</f>
        <v/>
      </c>
      <c r="B483" s="6"/>
      <c r="C483" s="7"/>
      <c r="D483" s="7"/>
      <c r="E483" s="7"/>
      <c r="F483" s="7"/>
      <c r="G483" s="8"/>
      <c r="H483" s="6"/>
      <c r="I483" s="9"/>
      <c r="J483" s="10"/>
      <c r="K483" s="8"/>
      <c r="L483" s="6"/>
      <c r="M483" s="11" t="str">
        <f aca="true">IF($D483="","",IF($K483="Completed",IF($L483="",$H483,$L483),IF($H483="","",IF($H483&lt;TODAY(),TODAY(),$H483))))</f>
        <v/>
      </c>
      <c r="N483" s="12" t="str">
        <f aca="true">IF($D483="","",IF($K483="Completed","Completed",IF($H483="","No Due Date",IF($H483&lt;TODAY(),"Carried Forward",IF($H483=TODAY(),"Due Today","Upcoming")))))</f>
        <v/>
      </c>
      <c r="O483" s="5" t="str">
        <f aca="true">IF($D483="","",IF($I483="","",IF($K483="Completed","",$I483-TODAY())))</f>
        <v/>
      </c>
      <c r="P483" s="5" t="str">
        <f aca="true">IF($D483="","",IF($B483="","",IF($K483="Completed",IF($L483="","",$L483-$B483),TODAY()-$B483)))</f>
        <v/>
      </c>
      <c r="Q483" s="5" t="str">
        <f aca="false">IF($D483="","",IF($K483="Completed","",MAX($Q$1:$Q482)+1))</f>
        <v/>
      </c>
      <c r="R483" s="7"/>
    </row>
    <row r="484" customFormat="false" ht="15" hidden="false" customHeight="false" outlineLevel="0" collapsed="false">
      <c r="A484" s="5" t="str">
        <f aca="false">IF($D484="","",ROW()-1)</f>
        <v/>
      </c>
      <c r="B484" s="6"/>
      <c r="C484" s="7"/>
      <c r="D484" s="7"/>
      <c r="E484" s="7"/>
      <c r="F484" s="7"/>
      <c r="G484" s="8"/>
      <c r="H484" s="6"/>
      <c r="I484" s="9"/>
      <c r="J484" s="10"/>
      <c r="K484" s="8"/>
      <c r="L484" s="6"/>
      <c r="M484" s="11" t="str">
        <f aca="true">IF($D484="","",IF($K484="Completed",IF($L484="",$H484,$L484),IF($H484="","",IF($H484&lt;TODAY(),TODAY(),$H484))))</f>
        <v/>
      </c>
      <c r="N484" s="12" t="str">
        <f aca="true">IF($D484="","",IF($K484="Completed","Completed",IF($H484="","No Due Date",IF($H484&lt;TODAY(),"Carried Forward",IF($H484=TODAY(),"Due Today","Upcoming")))))</f>
        <v/>
      </c>
      <c r="O484" s="5" t="str">
        <f aca="true">IF($D484="","",IF($I484="","",IF($K484="Completed","",$I484-TODAY())))</f>
        <v/>
      </c>
      <c r="P484" s="5" t="str">
        <f aca="true">IF($D484="","",IF($B484="","",IF($K484="Completed",IF($L484="","",$L484-$B484),TODAY()-$B484)))</f>
        <v/>
      </c>
      <c r="Q484" s="5" t="str">
        <f aca="false">IF($D484="","",IF($K484="Completed","",MAX($Q$1:$Q483)+1))</f>
        <v/>
      </c>
      <c r="R484" s="7"/>
    </row>
    <row r="485" customFormat="false" ht="15" hidden="false" customHeight="false" outlineLevel="0" collapsed="false">
      <c r="A485" s="5" t="str">
        <f aca="false">IF($D485="","",ROW()-1)</f>
        <v/>
      </c>
      <c r="B485" s="6"/>
      <c r="C485" s="7"/>
      <c r="D485" s="7"/>
      <c r="E485" s="7"/>
      <c r="F485" s="7"/>
      <c r="G485" s="8"/>
      <c r="H485" s="6"/>
      <c r="I485" s="9"/>
      <c r="J485" s="10"/>
      <c r="K485" s="8"/>
      <c r="L485" s="6"/>
      <c r="M485" s="11" t="str">
        <f aca="true">IF($D485="","",IF($K485="Completed",IF($L485="",$H485,$L485),IF($H485="","",IF($H485&lt;TODAY(),TODAY(),$H485))))</f>
        <v/>
      </c>
      <c r="N485" s="12" t="str">
        <f aca="true">IF($D485="","",IF($K485="Completed","Completed",IF($H485="","No Due Date",IF($H485&lt;TODAY(),"Carried Forward",IF($H485=TODAY(),"Due Today","Upcoming")))))</f>
        <v/>
      </c>
      <c r="O485" s="5" t="str">
        <f aca="true">IF($D485="","",IF($I485="","",IF($K485="Completed","",$I485-TODAY())))</f>
        <v/>
      </c>
      <c r="P485" s="5" t="str">
        <f aca="true">IF($D485="","",IF($B485="","",IF($K485="Completed",IF($L485="","",$L485-$B485),TODAY()-$B485)))</f>
        <v/>
      </c>
      <c r="Q485" s="5" t="str">
        <f aca="false">IF($D485="","",IF($K485="Completed","",MAX($Q$1:$Q484)+1))</f>
        <v/>
      </c>
      <c r="R485" s="7"/>
    </row>
    <row r="486" customFormat="false" ht="15" hidden="false" customHeight="false" outlineLevel="0" collapsed="false">
      <c r="A486" s="5" t="str">
        <f aca="false">IF($D486="","",ROW()-1)</f>
        <v/>
      </c>
      <c r="B486" s="6"/>
      <c r="C486" s="7"/>
      <c r="D486" s="7"/>
      <c r="E486" s="7"/>
      <c r="F486" s="7"/>
      <c r="G486" s="8"/>
      <c r="H486" s="6"/>
      <c r="I486" s="9"/>
      <c r="J486" s="10"/>
      <c r="K486" s="8"/>
      <c r="L486" s="6"/>
      <c r="M486" s="11" t="str">
        <f aca="true">IF($D486="","",IF($K486="Completed",IF($L486="",$H486,$L486),IF($H486="","",IF($H486&lt;TODAY(),TODAY(),$H486))))</f>
        <v/>
      </c>
      <c r="N486" s="12" t="str">
        <f aca="true">IF($D486="","",IF($K486="Completed","Completed",IF($H486="","No Due Date",IF($H486&lt;TODAY(),"Carried Forward",IF($H486=TODAY(),"Due Today","Upcoming")))))</f>
        <v/>
      </c>
      <c r="O486" s="5" t="str">
        <f aca="true">IF($D486="","",IF($I486="","",IF($K486="Completed","",$I486-TODAY())))</f>
        <v/>
      </c>
      <c r="P486" s="5" t="str">
        <f aca="true">IF($D486="","",IF($B486="","",IF($K486="Completed",IF($L486="","",$L486-$B486),TODAY()-$B486)))</f>
        <v/>
      </c>
      <c r="Q486" s="5" t="str">
        <f aca="false">IF($D486="","",IF($K486="Completed","",MAX($Q$1:$Q485)+1))</f>
        <v/>
      </c>
      <c r="R486" s="7"/>
    </row>
    <row r="487" customFormat="false" ht="15" hidden="false" customHeight="false" outlineLevel="0" collapsed="false">
      <c r="A487" s="5" t="str">
        <f aca="false">IF($D487="","",ROW()-1)</f>
        <v/>
      </c>
      <c r="B487" s="6"/>
      <c r="C487" s="7"/>
      <c r="D487" s="7"/>
      <c r="E487" s="7"/>
      <c r="F487" s="7"/>
      <c r="G487" s="8"/>
      <c r="H487" s="6"/>
      <c r="I487" s="9"/>
      <c r="J487" s="10"/>
      <c r="K487" s="8"/>
      <c r="L487" s="6"/>
      <c r="M487" s="11" t="str">
        <f aca="true">IF($D487="","",IF($K487="Completed",IF($L487="",$H487,$L487),IF($H487="","",IF($H487&lt;TODAY(),TODAY(),$H487))))</f>
        <v/>
      </c>
      <c r="N487" s="12" t="str">
        <f aca="true">IF($D487="","",IF($K487="Completed","Completed",IF($H487="","No Due Date",IF($H487&lt;TODAY(),"Carried Forward",IF($H487=TODAY(),"Due Today","Upcoming")))))</f>
        <v/>
      </c>
      <c r="O487" s="5" t="str">
        <f aca="true">IF($D487="","",IF($I487="","",IF($K487="Completed","",$I487-TODAY())))</f>
        <v/>
      </c>
      <c r="P487" s="5" t="str">
        <f aca="true">IF($D487="","",IF($B487="","",IF($K487="Completed",IF($L487="","",$L487-$B487),TODAY()-$B487)))</f>
        <v/>
      </c>
      <c r="Q487" s="5" t="str">
        <f aca="false">IF($D487="","",IF($K487="Completed","",MAX($Q$1:$Q486)+1))</f>
        <v/>
      </c>
      <c r="R487" s="7"/>
    </row>
    <row r="488" customFormat="false" ht="15" hidden="false" customHeight="false" outlineLevel="0" collapsed="false">
      <c r="A488" s="5" t="str">
        <f aca="false">IF($D488="","",ROW()-1)</f>
        <v/>
      </c>
      <c r="B488" s="6"/>
      <c r="C488" s="7"/>
      <c r="D488" s="7"/>
      <c r="E488" s="7"/>
      <c r="F488" s="7"/>
      <c r="G488" s="8"/>
      <c r="H488" s="6"/>
      <c r="I488" s="9"/>
      <c r="J488" s="10"/>
      <c r="K488" s="8"/>
      <c r="L488" s="6"/>
      <c r="M488" s="11" t="str">
        <f aca="true">IF($D488="","",IF($K488="Completed",IF($L488="",$H488,$L488),IF($H488="","",IF($H488&lt;TODAY(),TODAY(),$H488))))</f>
        <v/>
      </c>
      <c r="N488" s="12" t="str">
        <f aca="true">IF($D488="","",IF($K488="Completed","Completed",IF($H488="","No Due Date",IF($H488&lt;TODAY(),"Carried Forward",IF($H488=TODAY(),"Due Today","Upcoming")))))</f>
        <v/>
      </c>
      <c r="O488" s="5" t="str">
        <f aca="true">IF($D488="","",IF($I488="","",IF($K488="Completed","",$I488-TODAY())))</f>
        <v/>
      </c>
      <c r="P488" s="5" t="str">
        <f aca="true">IF($D488="","",IF($B488="","",IF($K488="Completed",IF($L488="","",$L488-$B488),TODAY()-$B488)))</f>
        <v/>
      </c>
      <c r="Q488" s="5" t="str">
        <f aca="false">IF($D488="","",IF($K488="Completed","",MAX($Q$1:$Q487)+1))</f>
        <v/>
      </c>
      <c r="R488" s="7"/>
    </row>
    <row r="489" customFormat="false" ht="15" hidden="false" customHeight="false" outlineLevel="0" collapsed="false">
      <c r="A489" s="5" t="str">
        <f aca="false">IF($D489="","",ROW()-1)</f>
        <v/>
      </c>
      <c r="B489" s="6"/>
      <c r="C489" s="7"/>
      <c r="D489" s="7"/>
      <c r="E489" s="7"/>
      <c r="F489" s="7"/>
      <c r="G489" s="8"/>
      <c r="H489" s="6"/>
      <c r="I489" s="9"/>
      <c r="J489" s="10"/>
      <c r="K489" s="8"/>
      <c r="L489" s="6"/>
      <c r="M489" s="11" t="str">
        <f aca="true">IF($D489="","",IF($K489="Completed",IF($L489="",$H489,$L489),IF($H489="","",IF($H489&lt;TODAY(),TODAY(),$H489))))</f>
        <v/>
      </c>
      <c r="N489" s="12" t="str">
        <f aca="true">IF($D489="","",IF($K489="Completed","Completed",IF($H489="","No Due Date",IF($H489&lt;TODAY(),"Carried Forward",IF($H489=TODAY(),"Due Today","Upcoming")))))</f>
        <v/>
      </c>
      <c r="O489" s="5" t="str">
        <f aca="true">IF($D489="","",IF($I489="","",IF($K489="Completed","",$I489-TODAY())))</f>
        <v/>
      </c>
      <c r="P489" s="5" t="str">
        <f aca="true">IF($D489="","",IF($B489="","",IF($K489="Completed",IF($L489="","",$L489-$B489),TODAY()-$B489)))</f>
        <v/>
      </c>
      <c r="Q489" s="5" t="str">
        <f aca="false">IF($D489="","",IF($K489="Completed","",MAX($Q$1:$Q488)+1))</f>
        <v/>
      </c>
      <c r="R489" s="7"/>
    </row>
    <row r="490" customFormat="false" ht="15" hidden="false" customHeight="false" outlineLevel="0" collapsed="false">
      <c r="A490" s="5" t="str">
        <f aca="false">IF($D490="","",ROW()-1)</f>
        <v/>
      </c>
      <c r="B490" s="6"/>
      <c r="C490" s="7"/>
      <c r="D490" s="7"/>
      <c r="E490" s="7"/>
      <c r="F490" s="7"/>
      <c r="G490" s="8"/>
      <c r="H490" s="6"/>
      <c r="I490" s="9"/>
      <c r="J490" s="10"/>
      <c r="K490" s="8"/>
      <c r="L490" s="6"/>
      <c r="M490" s="11" t="str">
        <f aca="true">IF($D490="","",IF($K490="Completed",IF($L490="",$H490,$L490),IF($H490="","",IF($H490&lt;TODAY(),TODAY(),$H490))))</f>
        <v/>
      </c>
      <c r="N490" s="12" t="str">
        <f aca="true">IF($D490="","",IF($K490="Completed","Completed",IF($H490="","No Due Date",IF($H490&lt;TODAY(),"Carried Forward",IF($H490=TODAY(),"Due Today","Upcoming")))))</f>
        <v/>
      </c>
      <c r="O490" s="5" t="str">
        <f aca="true">IF($D490="","",IF($I490="","",IF($K490="Completed","",$I490-TODAY())))</f>
        <v/>
      </c>
      <c r="P490" s="5" t="str">
        <f aca="true">IF($D490="","",IF($B490="","",IF($K490="Completed",IF($L490="","",$L490-$B490),TODAY()-$B490)))</f>
        <v/>
      </c>
      <c r="Q490" s="5" t="str">
        <f aca="false">IF($D490="","",IF($K490="Completed","",MAX($Q$1:$Q489)+1))</f>
        <v/>
      </c>
      <c r="R490" s="7"/>
    </row>
    <row r="491" customFormat="false" ht="15" hidden="false" customHeight="false" outlineLevel="0" collapsed="false">
      <c r="A491" s="5" t="str">
        <f aca="false">IF($D491="","",ROW()-1)</f>
        <v/>
      </c>
      <c r="B491" s="6"/>
      <c r="C491" s="7"/>
      <c r="D491" s="7"/>
      <c r="E491" s="7"/>
      <c r="F491" s="7"/>
      <c r="G491" s="8"/>
      <c r="H491" s="6"/>
      <c r="I491" s="9"/>
      <c r="J491" s="10"/>
      <c r="K491" s="8"/>
      <c r="L491" s="6"/>
      <c r="M491" s="11" t="str">
        <f aca="true">IF($D491="","",IF($K491="Completed",IF($L491="",$H491,$L491),IF($H491="","",IF($H491&lt;TODAY(),TODAY(),$H491))))</f>
        <v/>
      </c>
      <c r="N491" s="12" t="str">
        <f aca="true">IF($D491="","",IF($K491="Completed","Completed",IF($H491="","No Due Date",IF($H491&lt;TODAY(),"Carried Forward",IF($H491=TODAY(),"Due Today","Upcoming")))))</f>
        <v/>
      </c>
      <c r="O491" s="5" t="str">
        <f aca="true">IF($D491="","",IF($I491="","",IF($K491="Completed","",$I491-TODAY())))</f>
        <v/>
      </c>
      <c r="P491" s="5" t="str">
        <f aca="true">IF($D491="","",IF($B491="","",IF($K491="Completed",IF($L491="","",$L491-$B491),TODAY()-$B491)))</f>
        <v/>
      </c>
      <c r="Q491" s="5" t="str">
        <f aca="false">IF($D491="","",IF($K491="Completed","",MAX($Q$1:$Q490)+1))</f>
        <v/>
      </c>
      <c r="R491" s="7"/>
    </row>
    <row r="492" customFormat="false" ht="15" hidden="false" customHeight="false" outlineLevel="0" collapsed="false">
      <c r="A492" s="5" t="str">
        <f aca="false">IF($D492="","",ROW()-1)</f>
        <v/>
      </c>
      <c r="B492" s="6"/>
      <c r="C492" s="7"/>
      <c r="D492" s="7"/>
      <c r="E492" s="7"/>
      <c r="F492" s="7"/>
      <c r="G492" s="8"/>
      <c r="H492" s="6"/>
      <c r="I492" s="9"/>
      <c r="J492" s="10"/>
      <c r="K492" s="8"/>
      <c r="L492" s="6"/>
      <c r="M492" s="11" t="str">
        <f aca="true">IF($D492="","",IF($K492="Completed",IF($L492="",$H492,$L492),IF($H492="","",IF($H492&lt;TODAY(),TODAY(),$H492))))</f>
        <v/>
      </c>
      <c r="N492" s="12" t="str">
        <f aca="true">IF($D492="","",IF($K492="Completed","Completed",IF($H492="","No Due Date",IF($H492&lt;TODAY(),"Carried Forward",IF($H492=TODAY(),"Due Today","Upcoming")))))</f>
        <v/>
      </c>
      <c r="O492" s="5" t="str">
        <f aca="true">IF($D492="","",IF($I492="","",IF($K492="Completed","",$I492-TODAY())))</f>
        <v/>
      </c>
      <c r="P492" s="5" t="str">
        <f aca="true">IF($D492="","",IF($B492="","",IF($K492="Completed",IF($L492="","",$L492-$B492),TODAY()-$B492)))</f>
        <v/>
      </c>
      <c r="Q492" s="5" t="str">
        <f aca="false">IF($D492="","",IF($K492="Completed","",MAX($Q$1:$Q491)+1))</f>
        <v/>
      </c>
      <c r="R492" s="7"/>
    </row>
    <row r="493" customFormat="false" ht="15" hidden="false" customHeight="false" outlineLevel="0" collapsed="false">
      <c r="A493" s="5" t="str">
        <f aca="false">IF($D493="","",ROW()-1)</f>
        <v/>
      </c>
      <c r="B493" s="6"/>
      <c r="C493" s="7"/>
      <c r="D493" s="7"/>
      <c r="E493" s="7"/>
      <c r="F493" s="7"/>
      <c r="G493" s="8"/>
      <c r="H493" s="6"/>
      <c r="I493" s="9"/>
      <c r="J493" s="10"/>
      <c r="K493" s="8"/>
      <c r="L493" s="6"/>
      <c r="M493" s="11" t="str">
        <f aca="true">IF($D493="","",IF($K493="Completed",IF($L493="",$H493,$L493),IF($H493="","",IF($H493&lt;TODAY(),TODAY(),$H493))))</f>
        <v/>
      </c>
      <c r="N493" s="12" t="str">
        <f aca="true">IF($D493="","",IF($K493="Completed","Completed",IF($H493="","No Due Date",IF($H493&lt;TODAY(),"Carried Forward",IF($H493=TODAY(),"Due Today","Upcoming")))))</f>
        <v/>
      </c>
      <c r="O493" s="5" t="str">
        <f aca="true">IF($D493="","",IF($I493="","",IF($K493="Completed","",$I493-TODAY())))</f>
        <v/>
      </c>
      <c r="P493" s="5" t="str">
        <f aca="true">IF($D493="","",IF($B493="","",IF($K493="Completed",IF($L493="","",$L493-$B493),TODAY()-$B493)))</f>
        <v/>
      </c>
      <c r="Q493" s="5" t="str">
        <f aca="false">IF($D493="","",IF($K493="Completed","",MAX($Q$1:$Q492)+1))</f>
        <v/>
      </c>
      <c r="R493" s="7"/>
    </row>
    <row r="494" customFormat="false" ht="15" hidden="false" customHeight="false" outlineLevel="0" collapsed="false">
      <c r="A494" s="5" t="str">
        <f aca="false">IF($D494="","",ROW()-1)</f>
        <v/>
      </c>
      <c r="B494" s="6"/>
      <c r="C494" s="7"/>
      <c r="D494" s="7"/>
      <c r="E494" s="7"/>
      <c r="F494" s="7"/>
      <c r="G494" s="8"/>
      <c r="H494" s="6"/>
      <c r="I494" s="9"/>
      <c r="J494" s="10"/>
      <c r="K494" s="8"/>
      <c r="L494" s="6"/>
      <c r="M494" s="11" t="str">
        <f aca="true">IF($D494="","",IF($K494="Completed",IF($L494="",$H494,$L494),IF($H494="","",IF($H494&lt;TODAY(),TODAY(),$H494))))</f>
        <v/>
      </c>
      <c r="N494" s="12" t="str">
        <f aca="true">IF($D494="","",IF($K494="Completed","Completed",IF($H494="","No Due Date",IF($H494&lt;TODAY(),"Carried Forward",IF($H494=TODAY(),"Due Today","Upcoming")))))</f>
        <v/>
      </c>
      <c r="O494" s="5" t="str">
        <f aca="true">IF($D494="","",IF($I494="","",IF($K494="Completed","",$I494-TODAY())))</f>
        <v/>
      </c>
      <c r="P494" s="5" t="str">
        <f aca="true">IF($D494="","",IF($B494="","",IF($K494="Completed",IF($L494="","",$L494-$B494),TODAY()-$B494)))</f>
        <v/>
      </c>
      <c r="Q494" s="5" t="str">
        <f aca="false">IF($D494="","",IF($K494="Completed","",MAX($Q$1:$Q493)+1))</f>
        <v/>
      </c>
      <c r="R494" s="7"/>
    </row>
    <row r="495" customFormat="false" ht="15" hidden="false" customHeight="false" outlineLevel="0" collapsed="false">
      <c r="A495" s="5" t="str">
        <f aca="false">IF($D495="","",ROW()-1)</f>
        <v/>
      </c>
      <c r="B495" s="6"/>
      <c r="C495" s="7"/>
      <c r="D495" s="7"/>
      <c r="E495" s="7"/>
      <c r="F495" s="7"/>
      <c r="G495" s="8"/>
      <c r="H495" s="6"/>
      <c r="I495" s="9"/>
      <c r="J495" s="10"/>
      <c r="K495" s="8"/>
      <c r="L495" s="6"/>
      <c r="M495" s="11" t="str">
        <f aca="true">IF($D495="","",IF($K495="Completed",IF($L495="",$H495,$L495),IF($H495="","",IF($H495&lt;TODAY(),TODAY(),$H495))))</f>
        <v/>
      </c>
      <c r="N495" s="12" t="str">
        <f aca="true">IF($D495="","",IF($K495="Completed","Completed",IF($H495="","No Due Date",IF($H495&lt;TODAY(),"Carried Forward",IF($H495=TODAY(),"Due Today","Upcoming")))))</f>
        <v/>
      </c>
      <c r="O495" s="5" t="str">
        <f aca="true">IF($D495="","",IF($I495="","",IF($K495="Completed","",$I495-TODAY())))</f>
        <v/>
      </c>
      <c r="P495" s="5" t="str">
        <f aca="true">IF($D495="","",IF($B495="","",IF($K495="Completed",IF($L495="","",$L495-$B495),TODAY()-$B495)))</f>
        <v/>
      </c>
      <c r="Q495" s="5" t="str">
        <f aca="false">IF($D495="","",IF($K495="Completed","",MAX($Q$1:$Q494)+1))</f>
        <v/>
      </c>
      <c r="R495" s="7"/>
    </row>
    <row r="496" customFormat="false" ht="15" hidden="false" customHeight="false" outlineLevel="0" collapsed="false">
      <c r="A496" s="5" t="str">
        <f aca="false">IF($D496="","",ROW()-1)</f>
        <v/>
      </c>
      <c r="B496" s="6"/>
      <c r="C496" s="7"/>
      <c r="D496" s="7"/>
      <c r="E496" s="7"/>
      <c r="F496" s="7"/>
      <c r="G496" s="8"/>
      <c r="H496" s="6"/>
      <c r="I496" s="9"/>
      <c r="J496" s="10"/>
      <c r="K496" s="8"/>
      <c r="L496" s="6"/>
      <c r="M496" s="11" t="str">
        <f aca="true">IF($D496="","",IF($K496="Completed",IF($L496="",$H496,$L496),IF($H496="","",IF($H496&lt;TODAY(),TODAY(),$H496))))</f>
        <v/>
      </c>
      <c r="N496" s="12" t="str">
        <f aca="true">IF($D496="","",IF($K496="Completed","Completed",IF($H496="","No Due Date",IF($H496&lt;TODAY(),"Carried Forward",IF($H496=TODAY(),"Due Today","Upcoming")))))</f>
        <v/>
      </c>
      <c r="O496" s="5" t="str">
        <f aca="true">IF($D496="","",IF($I496="","",IF($K496="Completed","",$I496-TODAY())))</f>
        <v/>
      </c>
      <c r="P496" s="5" t="str">
        <f aca="true">IF($D496="","",IF($B496="","",IF($K496="Completed",IF($L496="","",$L496-$B496),TODAY()-$B496)))</f>
        <v/>
      </c>
      <c r="Q496" s="5" t="str">
        <f aca="false">IF($D496="","",IF($K496="Completed","",MAX($Q$1:$Q495)+1))</f>
        <v/>
      </c>
      <c r="R496" s="7"/>
    </row>
    <row r="497" customFormat="false" ht="15" hidden="false" customHeight="false" outlineLevel="0" collapsed="false">
      <c r="A497" s="5" t="str">
        <f aca="false">IF($D497="","",ROW()-1)</f>
        <v/>
      </c>
      <c r="B497" s="6"/>
      <c r="C497" s="7"/>
      <c r="D497" s="7"/>
      <c r="E497" s="7"/>
      <c r="F497" s="7"/>
      <c r="G497" s="8"/>
      <c r="H497" s="6"/>
      <c r="I497" s="9"/>
      <c r="J497" s="10"/>
      <c r="K497" s="8"/>
      <c r="L497" s="6"/>
      <c r="M497" s="11" t="str">
        <f aca="true">IF($D497="","",IF($K497="Completed",IF($L497="",$H497,$L497),IF($H497="","",IF($H497&lt;TODAY(),TODAY(),$H497))))</f>
        <v/>
      </c>
      <c r="N497" s="12" t="str">
        <f aca="true">IF($D497="","",IF($K497="Completed","Completed",IF($H497="","No Due Date",IF($H497&lt;TODAY(),"Carried Forward",IF($H497=TODAY(),"Due Today","Upcoming")))))</f>
        <v/>
      </c>
      <c r="O497" s="5" t="str">
        <f aca="true">IF($D497="","",IF($I497="","",IF($K497="Completed","",$I497-TODAY())))</f>
        <v/>
      </c>
      <c r="P497" s="5" t="str">
        <f aca="true">IF($D497="","",IF($B497="","",IF($K497="Completed",IF($L497="","",$L497-$B497),TODAY()-$B497)))</f>
        <v/>
      </c>
      <c r="Q497" s="5" t="str">
        <f aca="false">IF($D497="","",IF($K497="Completed","",MAX($Q$1:$Q496)+1))</f>
        <v/>
      </c>
      <c r="R497" s="7"/>
    </row>
    <row r="498" customFormat="false" ht="15" hidden="false" customHeight="false" outlineLevel="0" collapsed="false">
      <c r="A498" s="5" t="str">
        <f aca="false">IF($D498="","",ROW()-1)</f>
        <v/>
      </c>
      <c r="B498" s="6"/>
      <c r="C498" s="7"/>
      <c r="D498" s="7"/>
      <c r="E498" s="7"/>
      <c r="F498" s="7"/>
      <c r="G498" s="8"/>
      <c r="H498" s="6"/>
      <c r="I498" s="9"/>
      <c r="J498" s="10"/>
      <c r="K498" s="8"/>
      <c r="L498" s="6"/>
      <c r="M498" s="11" t="str">
        <f aca="true">IF($D498="","",IF($K498="Completed",IF($L498="",$H498,$L498),IF($H498="","",IF($H498&lt;TODAY(),TODAY(),$H498))))</f>
        <v/>
      </c>
      <c r="N498" s="12" t="str">
        <f aca="true">IF($D498="","",IF($K498="Completed","Completed",IF($H498="","No Due Date",IF($H498&lt;TODAY(),"Carried Forward",IF($H498=TODAY(),"Due Today","Upcoming")))))</f>
        <v/>
      </c>
      <c r="O498" s="5" t="str">
        <f aca="true">IF($D498="","",IF($I498="","",IF($K498="Completed","",$I498-TODAY())))</f>
        <v/>
      </c>
      <c r="P498" s="5" t="str">
        <f aca="true">IF($D498="","",IF($B498="","",IF($K498="Completed",IF($L498="","",$L498-$B498),TODAY()-$B498)))</f>
        <v/>
      </c>
      <c r="Q498" s="5" t="str">
        <f aca="false">IF($D498="","",IF($K498="Completed","",MAX($Q$1:$Q497)+1))</f>
        <v/>
      </c>
      <c r="R498" s="7"/>
    </row>
    <row r="499" customFormat="false" ht="15" hidden="false" customHeight="false" outlineLevel="0" collapsed="false">
      <c r="A499" s="5" t="str">
        <f aca="false">IF($D499="","",ROW()-1)</f>
        <v/>
      </c>
      <c r="B499" s="6"/>
      <c r="C499" s="7"/>
      <c r="D499" s="7"/>
      <c r="E499" s="7"/>
      <c r="F499" s="7"/>
      <c r="G499" s="8"/>
      <c r="H499" s="6"/>
      <c r="I499" s="9"/>
      <c r="J499" s="10"/>
      <c r="K499" s="8"/>
      <c r="L499" s="6"/>
      <c r="M499" s="11" t="str">
        <f aca="true">IF($D499="","",IF($K499="Completed",IF($L499="",$H499,$L499),IF($H499="","",IF($H499&lt;TODAY(),TODAY(),$H499))))</f>
        <v/>
      </c>
      <c r="N499" s="12" t="str">
        <f aca="true">IF($D499="","",IF($K499="Completed","Completed",IF($H499="","No Due Date",IF($H499&lt;TODAY(),"Carried Forward",IF($H499=TODAY(),"Due Today","Upcoming")))))</f>
        <v/>
      </c>
      <c r="O499" s="5" t="str">
        <f aca="true">IF($D499="","",IF($I499="","",IF($K499="Completed","",$I499-TODAY())))</f>
        <v/>
      </c>
      <c r="P499" s="5" t="str">
        <f aca="true">IF($D499="","",IF($B499="","",IF($K499="Completed",IF($L499="","",$L499-$B499),TODAY()-$B499)))</f>
        <v/>
      </c>
      <c r="Q499" s="5" t="str">
        <f aca="false">IF($D499="","",IF($K499="Completed","",MAX($Q$1:$Q498)+1))</f>
        <v/>
      </c>
      <c r="R499" s="7"/>
    </row>
    <row r="500" customFormat="false" ht="15" hidden="false" customHeight="false" outlineLevel="0" collapsed="false">
      <c r="A500" s="5" t="str">
        <f aca="false">IF($D500="","",ROW()-1)</f>
        <v/>
      </c>
      <c r="B500" s="6"/>
      <c r="C500" s="7"/>
      <c r="D500" s="7"/>
      <c r="E500" s="7"/>
      <c r="F500" s="7"/>
      <c r="G500" s="8"/>
      <c r="H500" s="6"/>
      <c r="I500" s="9"/>
      <c r="J500" s="10"/>
      <c r="K500" s="8"/>
      <c r="L500" s="6"/>
      <c r="M500" s="11" t="str">
        <f aca="true">IF($D500="","",IF($K500="Completed",IF($L500="",$H500,$L500),IF($H500="","",IF($H500&lt;TODAY(),TODAY(),$H500))))</f>
        <v/>
      </c>
      <c r="N500" s="12" t="str">
        <f aca="true">IF($D500="","",IF($K500="Completed","Completed",IF($H500="","No Due Date",IF($H500&lt;TODAY(),"Carried Forward",IF($H500=TODAY(),"Due Today","Upcoming")))))</f>
        <v/>
      </c>
      <c r="O500" s="5" t="str">
        <f aca="true">IF($D500="","",IF($I500="","",IF($K500="Completed","",$I500-TODAY())))</f>
        <v/>
      </c>
      <c r="P500" s="5" t="str">
        <f aca="true">IF($D500="","",IF($B500="","",IF($K500="Completed",IF($L500="","",$L500-$B500),TODAY()-$B500)))</f>
        <v/>
      </c>
      <c r="Q500" s="5" t="str">
        <f aca="false">IF($D500="","",IF($K500="Completed","",MAX($Q$1:$Q499)+1))</f>
        <v/>
      </c>
      <c r="R500" s="7"/>
    </row>
  </sheetData>
  <autoFilter ref="A1:R500"/>
  <conditionalFormatting sqref="N2:N500">
    <cfRule type="cellIs" priority="2" operator="equal" aboveAverage="0" equalAverage="0" bottom="0" percent="0" rank="0" text="" dxfId="12">
      <formula>"Carried Forward"</formula>
    </cfRule>
    <cfRule type="cellIs" priority="3" operator="equal" aboveAverage="0" equalAverage="0" bottom="0" percent="0" rank="0" text="" dxfId="13">
      <formula>"Completed"</formula>
    </cfRule>
    <cfRule type="cellIs" priority="4" operator="equal" aboveAverage="0" equalAverage="0" bottom="0" percent="0" rank="0" text="" dxfId="14">
      <formula>"Due Today"</formula>
    </cfRule>
  </conditionalFormatting>
  <conditionalFormatting sqref="O2:O500">
    <cfRule type="cellIs" priority="5" operator="lessThan" aboveAverage="0" equalAverage="0" bottom="0" percent="0" rank="0" text="" dxfId="15">
      <formula>0</formula>
    </cfRule>
    <cfRule type="cellIs" priority="6" operator="between" aboveAverage="0" equalAverage="0" bottom="0" percent="0" rank="0" text="" dxfId="16">
      <formula>0</formula>
      <formula>3</formula>
    </cfRule>
  </conditionalFormatting>
  <conditionalFormatting sqref="A2:R500">
    <cfRule type="expression" priority="7" aboveAverage="0" equalAverage="0" bottom="0" percent="0" rank="0" text="" dxfId="17">
      <formula>$K2="Completed"</formula>
    </cfRule>
  </conditionalFormatting>
  <dataValidations count="5">
    <dataValidation allowBlank="true" errorStyle="stop" operator="between" showDropDown="false" showErrorMessage="false" showInputMessage="false" sqref="C2:C500" type="list">
      <formula1>"Defence,Industry,Tenders,RPTO,RPTO Establishment,DaaS,V V Yatra,Redington,CoE,Global,Agri Drone,Agri Services"</formula1>
      <formula2>0</formula2>
    </dataValidation>
    <dataValidation allowBlank="true" errorStyle="stop" operator="between" showDropDown="false" showErrorMessage="false" showInputMessage="false" sqref="F2:F500" type="list">
      <formula1>"Drone Sale - Govt Order,Drone Sale - Private,Service / DaaS,Tender / Bid,Training,Internal / Admin"</formula1>
      <formula2>0</formula2>
    </dataValidation>
    <dataValidation allowBlank="true" errorStyle="stop" operator="between" showDropDown="false" showErrorMessage="false" showInputMessage="false" sqref="G2:G500" type="list">
      <formula1>"High,Medium,Low"</formula1>
      <formula2>0</formula2>
    </dataValidation>
    <dataValidation allowBlank="true" errorStyle="stop" operator="between" showDropDown="false" showErrorMessage="false" showInputMessage="false" sqref="J2:J500" type="list">
      <formula1>"Demo,Delivery / Dispatch,Inspection,Tender Submission,Training Batch,Site Survey,Go-Live,Review Meeting,Payment / Invoice,Other"</formula1>
      <formula2>0</formula2>
    </dataValidation>
    <dataValidation allowBlank="true" errorStyle="stop" operator="between" showDropDown="false" showErrorMessage="false" showInputMessage="false" sqref="K2:K500" type="list">
      <formula1>"Not Started,In Progress,On Hold,Completed"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9"/>
    <col collapsed="false" customWidth="true" hidden="false" outlineLevel="0" max="3" min="3" style="0" width="42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7" min="6" style="0" width="13"/>
    <col collapsed="false" customWidth="true" hidden="false" outlineLevel="0" max="8" min="8" style="0" width="18"/>
    <col collapsed="false" customWidth="true" hidden="false" outlineLevel="0" max="10" min="9" style="0" width="13"/>
    <col collapsed="false" customWidth="true" hidden="false" outlineLevel="0" max="11" min="11" style="0" width="17"/>
    <col collapsed="false" customWidth="true" hidden="false" outlineLevel="0" max="12" min="12" style="0" width="13"/>
  </cols>
  <sheetData>
    <row r="1" customFormat="false" ht="17.35" hidden="false" customHeight="false" outlineLevel="0" collapsed="false">
      <c r="A1" s="1" t="s">
        <v>92</v>
      </c>
      <c r="E1" s="13" t="n">
        <f aca="true">TODAY()</f>
        <v>46280</v>
      </c>
    </row>
    <row r="2" customFormat="false" ht="15" hidden="false" customHeight="false" outlineLevel="0" collapsed="false">
      <c r="A2" s="14" t="s">
        <v>93</v>
      </c>
    </row>
    <row r="4" customFormat="false" ht="30" hidden="false" customHeight="true" outlineLevel="0" collapsed="false">
      <c r="A4" s="4" t="s">
        <v>94</v>
      </c>
      <c r="B4" s="4" t="s">
        <v>37</v>
      </c>
      <c r="C4" s="4" t="s">
        <v>38</v>
      </c>
      <c r="D4" s="4" t="s">
        <v>39</v>
      </c>
      <c r="E4" s="4" t="s">
        <v>41</v>
      </c>
      <c r="F4" s="4" t="s">
        <v>42</v>
      </c>
      <c r="G4" s="4" t="s">
        <v>95</v>
      </c>
      <c r="H4" s="4" t="s">
        <v>44</v>
      </c>
      <c r="I4" s="4" t="s">
        <v>49</v>
      </c>
      <c r="J4" s="4" t="s">
        <v>45</v>
      </c>
      <c r="K4" s="4" t="s">
        <v>48</v>
      </c>
      <c r="L4" s="4" t="s">
        <v>50</v>
      </c>
    </row>
    <row r="5" customFormat="false" ht="15" hidden="false" customHeight="false" outlineLevel="0" collapsed="false">
      <c r="A5" s="5" t="n">
        <f aca="false">IFERROR(IF(MATCH(1,'Task Log'!$Q$2:$Q$500,0)&gt;0,1,""),"")</f>
        <v>1</v>
      </c>
      <c r="B5" s="15" t="str">
        <f aca="false">IFERROR(IF(INDEX('Task Log'!$C$2:$C$500,MATCH(1,'Task Log'!$Q$2:$Q$500,0))="","",INDEX('Task Log'!$C$2:$C$500,MATCH(1,'Task Log'!$Q$2:$Q$500,0))),"")</f>
        <v>Tenders</v>
      </c>
      <c r="C5" s="15" t="str">
        <f aca="false">IFERROR(IF(INDEX('Task Log'!$D$2:$D$500,MATCH(1,'Task Log'!$Q$2:$Q$500,0))="","",INDEX('Task Log'!$D$2:$D$500,MATCH(1,'Task Log'!$Q$2:$Q$500,0))),"")</f>
        <v>Submit technical bid documents for surveillance drone tender</v>
      </c>
      <c r="D5" s="15" t="str">
        <f aca="false">IFERROR(IF(INDEX('Task Log'!$E$2:$E$500,MATCH(1,'Task Log'!$Q$2:$Q$500,0))="","",INDEX('Task Log'!$E$2:$E$500,MATCH(1,'Task Log'!$Q$2:$Q$500,0))),"")</f>
        <v>State Police Dept</v>
      </c>
      <c r="E5" s="5" t="str">
        <f aca="false">IFERROR(IF(INDEX('Task Log'!$G$2:$G$500,MATCH(1,'Task Log'!$Q$2:$Q$500,0))="","",INDEX('Task Log'!$G$2:$G$500,MATCH(1,'Task Log'!$Q$2:$Q$500,0))),"")</f>
        <v>High</v>
      </c>
      <c r="F5" s="11" t="n">
        <f aca="false">IFERROR(IF(INDEX('Task Log'!$H$2:$H$500,MATCH(1,'Task Log'!$Q$2:$Q$500,0))="","",INDEX('Task Log'!$H$2:$H$500,MATCH(1,'Task Log'!$Q$2:$Q$500,0))),"")</f>
        <v>46278</v>
      </c>
      <c r="G5" s="11" t="n">
        <f aca="false">IFERROR(IF(INDEX('Task Log'!$I$2:$I$500,MATCH(1,'Task Log'!$Q$2:$Q$500,0))="","",INDEX('Task Log'!$I$2:$I$500,MATCH(1,'Task Log'!$Q$2:$Q$500,0))),"")</f>
        <v>46284</v>
      </c>
      <c r="H5" s="15" t="str">
        <f aca="false">IFERROR(IF(INDEX('Task Log'!$J$2:$J$500,MATCH(1,'Task Log'!$Q$2:$Q$500,0))="","",INDEX('Task Log'!$J$2:$J$500,MATCH(1,'Task Log'!$Q$2:$Q$500,0))),"")</f>
        <v>Tender Submission</v>
      </c>
      <c r="I5" s="5" t="n">
        <f aca="false">IFERROR(IF(INDEX('Task Log'!$O$2:$O$500,MATCH(1,'Task Log'!$Q$2:$Q$500,0))="","",INDEX('Task Log'!$O$2:$O$500,MATCH(1,'Task Log'!$Q$2:$Q$500,0))),"")</f>
        <v>4</v>
      </c>
      <c r="J5" s="5" t="str">
        <f aca="false">IFERROR(IF(INDEX('Task Log'!$K$2:$K$500,MATCH(1,'Task Log'!$Q$2:$Q$500,0))="","",INDEX('Task Log'!$K$2:$K$500,MATCH(1,'Task Log'!$Q$2:$Q$500,0))),"")</f>
        <v>In Progress</v>
      </c>
      <c r="K5" s="5" t="str">
        <f aca="false">IFERROR(IF(INDEX('Task Log'!$N$2:$N$500,MATCH(1,'Task Log'!$Q$2:$Q$500,0))="","",INDEX('Task Log'!$N$2:$N$500,MATCH(1,'Task Log'!$Q$2:$Q$500,0))),"")</f>
        <v>Carried Forward</v>
      </c>
      <c r="L5" s="5" t="n">
        <f aca="false">IFERROR(IF(INDEX('Task Log'!$P$2:$P$500,MATCH(1,'Task Log'!$Q$2:$Q$500,0))="","",INDEX('Task Log'!$P$2:$P$500,MATCH(1,'Task Log'!$Q$2:$Q$500,0))),"")</f>
        <v>6</v>
      </c>
    </row>
    <row r="6" customFormat="false" ht="15" hidden="false" customHeight="false" outlineLevel="0" collapsed="false">
      <c r="A6" s="5" t="n">
        <f aca="false">IFERROR(IF(MATCH(2,'Task Log'!$Q$2:$Q$500,0)&gt;0,2,""),"")</f>
        <v>2</v>
      </c>
      <c r="B6" s="15" t="str">
        <f aca="false">IFERROR(IF(INDEX('Task Log'!$C$2:$C$500,MATCH(2,'Task Log'!$Q$2:$Q$500,0))="","",INDEX('Task Log'!$C$2:$C$500,MATCH(2,'Task Log'!$Q$2:$Q$500,0))),"")</f>
        <v>Defence</v>
      </c>
      <c r="C6" s="15" t="str">
        <f aca="false">IFERROR(IF(INDEX('Task Log'!$D$2:$D$500,MATCH(2,'Task Log'!$Q$2:$Q$500,0))="","",INDEX('Task Log'!$D$2:$D$500,MATCH(2,'Task Log'!$Q$2:$Q$500,0))),"")</f>
        <v>Arrange flight demo of VTOL unit for evaluation team</v>
      </c>
      <c r="D6" s="15" t="str">
        <f aca="false">IFERROR(IF(INDEX('Task Log'!$E$2:$E$500,MATCH(2,'Task Log'!$Q$2:$Q$500,0))="","",INDEX('Task Log'!$E$2:$E$500,MATCH(2,'Task Log'!$Q$2:$Q$500,0))),"")</f>
        <v>MoD - Army Wing</v>
      </c>
      <c r="E6" s="5" t="str">
        <f aca="false">IFERROR(IF(INDEX('Task Log'!$G$2:$G$500,MATCH(2,'Task Log'!$Q$2:$Q$500,0))="","",INDEX('Task Log'!$G$2:$G$500,MATCH(2,'Task Log'!$Q$2:$Q$500,0))),"")</f>
        <v>High</v>
      </c>
      <c r="F6" s="11" t="n">
        <f aca="false">IFERROR(IF(INDEX('Task Log'!$H$2:$H$500,MATCH(2,'Task Log'!$Q$2:$Q$500,0))="","",INDEX('Task Log'!$H$2:$H$500,MATCH(2,'Task Log'!$Q$2:$Q$500,0))),"")</f>
        <v>46280</v>
      </c>
      <c r="G6" s="11" t="n">
        <f aca="false">IFERROR(IF(INDEX('Task Log'!$I$2:$I$500,MATCH(2,'Task Log'!$Q$2:$Q$500,0))="","",INDEX('Task Log'!$I$2:$I$500,MATCH(2,'Task Log'!$Q$2:$Q$500,0))),"")</f>
        <v>46286</v>
      </c>
      <c r="H6" s="15" t="str">
        <f aca="false">IFERROR(IF(INDEX('Task Log'!$J$2:$J$500,MATCH(2,'Task Log'!$Q$2:$Q$500,0))="","",INDEX('Task Log'!$J$2:$J$500,MATCH(2,'Task Log'!$Q$2:$Q$500,0))),"")</f>
        <v>Demo</v>
      </c>
      <c r="I6" s="5" t="n">
        <f aca="false">IFERROR(IF(INDEX('Task Log'!$O$2:$O$500,MATCH(2,'Task Log'!$Q$2:$Q$500,0))="","",INDEX('Task Log'!$O$2:$O$500,MATCH(2,'Task Log'!$Q$2:$Q$500,0))),"")</f>
        <v>6</v>
      </c>
      <c r="J6" s="5" t="str">
        <f aca="false">IFERROR(IF(INDEX('Task Log'!$K$2:$K$500,MATCH(2,'Task Log'!$Q$2:$Q$500,0))="","",INDEX('Task Log'!$K$2:$K$500,MATCH(2,'Task Log'!$Q$2:$Q$500,0))),"")</f>
        <v>In Progress</v>
      </c>
      <c r="K6" s="5" t="str">
        <f aca="false">IFERROR(IF(INDEX('Task Log'!$N$2:$N$500,MATCH(2,'Task Log'!$Q$2:$Q$500,0))="","",INDEX('Task Log'!$N$2:$N$500,MATCH(2,'Task Log'!$Q$2:$Q$500,0))),"")</f>
        <v>Due Today</v>
      </c>
      <c r="L6" s="5" t="n">
        <f aca="false">IFERROR(IF(INDEX('Task Log'!$P$2:$P$500,MATCH(2,'Task Log'!$Q$2:$Q$500,0))="","",INDEX('Task Log'!$P$2:$P$500,MATCH(2,'Task Log'!$Q$2:$Q$500,0))),"")</f>
        <v>4</v>
      </c>
    </row>
    <row r="7" customFormat="false" ht="15" hidden="false" customHeight="false" outlineLevel="0" collapsed="false">
      <c r="A7" s="5" t="n">
        <f aca="false">IFERROR(IF(MATCH(3,'Task Log'!$Q$2:$Q$500,0)&gt;0,3,""),"")</f>
        <v>3</v>
      </c>
      <c r="B7" s="15" t="str">
        <f aca="false">IFERROR(IF(INDEX('Task Log'!$C$2:$C$500,MATCH(3,'Task Log'!$Q$2:$Q$500,0))="","",INDEX('Task Log'!$C$2:$C$500,MATCH(3,'Task Log'!$Q$2:$Q$500,0))),"")</f>
        <v>RPTO Establishment</v>
      </c>
      <c r="C7" s="15" t="str">
        <f aca="false">IFERROR(IF(INDEX('Task Log'!$D$2:$D$500,MATCH(3,'Task Log'!$Q$2:$Q$500,0))="","",INDEX('Task Log'!$D$2:$D$500,MATCH(3,'Task Log'!$Q$2:$Q$500,0))),"")</f>
        <v>Follow up DGCA file for new RPTO site approval</v>
      </c>
      <c r="D7" s="15" t="str">
        <f aca="false">IFERROR(IF(INDEX('Task Log'!$E$2:$E$500,MATCH(3,'Task Log'!$Q$2:$Q$500,0))="","",INDEX('Task Log'!$E$2:$E$500,MATCH(3,'Task Log'!$Q$2:$Q$500,0))),"")</f>
        <v>Internal</v>
      </c>
      <c r="E7" s="5" t="str">
        <f aca="false">IFERROR(IF(INDEX('Task Log'!$G$2:$G$500,MATCH(3,'Task Log'!$Q$2:$Q$500,0))="","",INDEX('Task Log'!$G$2:$G$500,MATCH(3,'Task Log'!$Q$2:$Q$500,0))),"")</f>
        <v>Medium</v>
      </c>
      <c r="F7" s="11" t="n">
        <f aca="false">IFERROR(IF(INDEX('Task Log'!$H$2:$H$500,MATCH(3,'Task Log'!$Q$2:$Q$500,0))="","",INDEX('Task Log'!$H$2:$H$500,MATCH(3,'Task Log'!$Q$2:$Q$500,0))),"")</f>
        <v>46283</v>
      </c>
      <c r="G7" s="11" t="n">
        <f aca="false">IFERROR(IF(INDEX('Task Log'!$I$2:$I$500,MATCH(3,'Task Log'!$Q$2:$Q$500,0))="","",INDEX('Task Log'!$I$2:$I$500,MATCH(3,'Task Log'!$Q$2:$Q$500,0))),"")</f>
        <v>46301</v>
      </c>
      <c r="H7" s="15" t="str">
        <f aca="false">IFERROR(IF(INDEX('Task Log'!$J$2:$J$500,MATCH(3,'Task Log'!$Q$2:$Q$500,0))="","",INDEX('Task Log'!$J$2:$J$500,MATCH(3,'Task Log'!$Q$2:$Q$500,0))),"")</f>
        <v>Go-Live</v>
      </c>
      <c r="I7" s="5" t="n">
        <f aca="false">IFERROR(IF(INDEX('Task Log'!$O$2:$O$500,MATCH(3,'Task Log'!$Q$2:$Q$500,0))="","",INDEX('Task Log'!$O$2:$O$500,MATCH(3,'Task Log'!$Q$2:$Q$500,0))),"")</f>
        <v>21</v>
      </c>
      <c r="J7" s="5" t="str">
        <f aca="false">IFERROR(IF(INDEX('Task Log'!$K$2:$K$500,MATCH(3,'Task Log'!$Q$2:$Q$500,0))="","",INDEX('Task Log'!$K$2:$K$500,MATCH(3,'Task Log'!$Q$2:$Q$500,0))),"")</f>
        <v>Not Started</v>
      </c>
      <c r="K7" s="5" t="str">
        <f aca="false">IFERROR(IF(INDEX('Task Log'!$N$2:$N$500,MATCH(3,'Task Log'!$Q$2:$Q$500,0))="","",INDEX('Task Log'!$N$2:$N$500,MATCH(3,'Task Log'!$Q$2:$Q$500,0))),"")</f>
        <v>Upcoming</v>
      </c>
      <c r="L7" s="5" t="n">
        <f aca="false">IFERROR(IF(INDEX('Task Log'!$P$2:$P$500,MATCH(3,'Task Log'!$Q$2:$Q$500,0))="","",INDEX('Task Log'!$P$2:$P$500,MATCH(3,'Task Log'!$Q$2:$Q$500,0))),"")</f>
        <v>4</v>
      </c>
    </row>
    <row r="8" customFormat="false" ht="15" hidden="false" customHeight="false" outlineLevel="0" collapsed="false">
      <c r="A8" s="5" t="n">
        <f aca="false">IFERROR(IF(MATCH(4,'Task Log'!$Q$2:$Q$500,0)&gt;0,4,""),"")</f>
        <v>4</v>
      </c>
      <c r="B8" s="15" t="str">
        <f aca="false">IFERROR(IF(INDEX('Task Log'!$C$2:$C$500,MATCH(4,'Task Log'!$Q$2:$Q$500,0))="","",INDEX('Task Log'!$C$2:$C$500,MATCH(4,'Task Log'!$Q$2:$Q$500,0))),"")</f>
        <v>Redington</v>
      </c>
      <c r="C8" s="15" t="str">
        <f aca="false">IFERROR(IF(INDEX('Task Log'!$D$2:$D$500,MATCH(4,'Task Log'!$Q$2:$Q$500,0))="","",INDEX('Task Log'!$D$2:$D$500,MATCH(4,'Task Log'!$Q$2:$Q$500,0))),"")</f>
        <v>Share updated price list and channel margin sheet</v>
      </c>
      <c r="D8" s="15" t="str">
        <f aca="false">IFERROR(IF(INDEX('Task Log'!$E$2:$E$500,MATCH(4,'Task Log'!$Q$2:$Q$500,0))="","",INDEX('Task Log'!$E$2:$E$500,MATCH(4,'Task Log'!$Q$2:$Q$500,0))),"")</f>
        <v>Redington India</v>
      </c>
      <c r="E8" s="5" t="str">
        <f aca="false">IFERROR(IF(INDEX('Task Log'!$G$2:$G$500,MATCH(4,'Task Log'!$Q$2:$Q$500,0))="","",INDEX('Task Log'!$G$2:$G$500,MATCH(4,'Task Log'!$Q$2:$Q$500,0))),"")</f>
        <v>Low</v>
      </c>
      <c r="F8" s="11" t="n">
        <f aca="false">IFERROR(IF(INDEX('Task Log'!$H$2:$H$500,MATCH(4,'Task Log'!$Q$2:$Q$500,0))="","",INDEX('Task Log'!$H$2:$H$500,MATCH(4,'Task Log'!$Q$2:$Q$500,0))),"")</f>
        <v>46285</v>
      </c>
      <c r="G8" s="11" t="str">
        <f aca="false">IFERROR(IF(INDEX('Task Log'!$I$2:$I$500,MATCH(4,'Task Log'!$Q$2:$Q$500,0))="","",INDEX('Task Log'!$I$2:$I$500,MATCH(4,'Task Log'!$Q$2:$Q$500,0))),"")</f>
        <v/>
      </c>
      <c r="H8" s="15" t="str">
        <f aca="false">IFERROR(IF(INDEX('Task Log'!$J$2:$J$500,MATCH(4,'Task Log'!$Q$2:$Q$500,0))="","",INDEX('Task Log'!$J$2:$J$500,MATCH(4,'Task Log'!$Q$2:$Q$500,0))),"")</f>
        <v/>
      </c>
      <c r="I8" s="5" t="str">
        <f aca="false">IFERROR(IF(INDEX('Task Log'!$O$2:$O$500,MATCH(4,'Task Log'!$Q$2:$Q$500,0))="","",INDEX('Task Log'!$O$2:$O$500,MATCH(4,'Task Log'!$Q$2:$Q$500,0))),"")</f>
        <v/>
      </c>
      <c r="J8" s="5" t="str">
        <f aca="false">IFERROR(IF(INDEX('Task Log'!$K$2:$K$500,MATCH(4,'Task Log'!$Q$2:$Q$500,0))="","",INDEX('Task Log'!$K$2:$K$500,MATCH(4,'Task Log'!$Q$2:$Q$500,0))),"")</f>
        <v>Not Started</v>
      </c>
      <c r="K8" s="5" t="str">
        <f aca="false">IFERROR(IF(INDEX('Task Log'!$N$2:$N$500,MATCH(4,'Task Log'!$Q$2:$Q$500,0))="","",INDEX('Task Log'!$N$2:$N$500,MATCH(4,'Task Log'!$Q$2:$Q$500,0))),"")</f>
        <v>Upcoming</v>
      </c>
      <c r="L8" s="5" t="n">
        <f aca="false">IFERROR(IF(INDEX('Task Log'!$P$2:$P$500,MATCH(4,'Task Log'!$Q$2:$Q$500,0))="","",INDEX('Task Log'!$P$2:$P$500,MATCH(4,'Task Log'!$Q$2:$Q$500,0))),"")</f>
        <v>2</v>
      </c>
    </row>
    <row r="9" customFormat="false" ht="15" hidden="false" customHeight="false" outlineLevel="0" collapsed="false">
      <c r="A9" s="5" t="n">
        <f aca="false">IFERROR(IF(MATCH(5,'Task Log'!$Q$2:$Q$500,0)&gt;0,5,""),"")</f>
        <v>5</v>
      </c>
      <c r="B9" s="15" t="str">
        <f aca="false">IFERROR(IF(INDEX('Task Log'!$C$2:$C$500,MATCH(5,'Task Log'!$Q$2:$Q$500,0))="","",INDEX('Task Log'!$C$2:$C$500,MATCH(5,'Task Log'!$Q$2:$Q$500,0))),"")</f>
        <v>DaaS</v>
      </c>
      <c r="C9" s="15" t="str">
        <f aca="false">IFERROR(IF(INDEX('Task Log'!$D$2:$D$500,MATCH(5,'Task Log'!$Q$2:$Q$500,0))="","",INDEX('Task Log'!$D$2:$D$500,MATCH(5,'Task Log'!$Q$2:$Q$500,0))),"")</f>
        <v>Raise invoice for September survey mandays</v>
      </c>
      <c r="D9" s="15" t="str">
        <f aca="false">IFERROR(IF(INDEX('Task Log'!$E$2:$E$500,MATCH(5,'Task Log'!$Q$2:$Q$500,0))="","",INDEX('Task Log'!$E$2:$E$500,MATCH(5,'Task Log'!$Q$2:$Q$500,0))),"")</f>
        <v>Private Infra Co</v>
      </c>
      <c r="E9" s="5" t="str">
        <f aca="false">IFERROR(IF(INDEX('Task Log'!$G$2:$G$500,MATCH(5,'Task Log'!$Q$2:$Q$500,0))="","",INDEX('Task Log'!$G$2:$G$500,MATCH(5,'Task Log'!$Q$2:$Q$500,0))),"")</f>
        <v>High</v>
      </c>
      <c r="F9" s="11" t="n">
        <f aca="false">IFERROR(IF(INDEX('Task Log'!$H$2:$H$500,MATCH(5,'Task Log'!$Q$2:$Q$500,0))="","",INDEX('Task Log'!$H$2:$H$500,MATCH(5,'Task Log'!$Q$2:$Q$500,0))),"")</f>
        <v>46281</v>
      </c>
      <c r="G9" s="11" t="n">
        <f aca="false">IFERROR(IF(INDEX('Task Log'!$I$2:$I$500,MATCH(5,'Task Log'!$Q$2:$Q$500,0))="","",INDEX('Task Log'!$I$2:$I$500,MATCH(5,'Task Log'!$Q$2:$Q$500,0))),"")</f>
        <v>46282</v>
      </c>
      <c r="H9" s="15" t="str">
        <f aca="false">IFERROR(IF(INDEX('Task Log'!$J$2:$J$500,MATCH(5,'Task Log'!$Q$2:$Q$500,0))="","",INDEX('Task Log'!$J$2:$J$500,MATCH(5,'Task Log'!$Q$2:$Q$500,0))),"")</f>
        <v>Payment / Invoice</v>
      </c>
      <c r="I9" s="5" t="n">
        <f aca="false">IFERROR(IF(INDEX('Task Log'!$O$2:$O$500,MATCH(5,'Task Log'!$Q$2:$Q$500,0))="","",INDEX('Task Log'!$O$2:$O$500,MATCH(5,'Task Log'!$Q$2:$Q$500,0))),"")</f>
        <v>2</v>
      </c>
      <c r="J9" s="5" t="str">
        <f aca="false">IFERROR(IF(INDEX('Task Log'!$K$2:$K$500,MATCH(5,'Task Log'!$Q$2:$Q$500,0))="","",INDEX('Task Log'!$K$2:$K$500,MATCH(5,'Task Log'!$Q$2:$Q$500,0))),"")</f>
        <v>In Progress</v>
      </c>
      <c r="K9" s="5" t="str">
        <f aca="false">IFERROR(IF(INDEX('Task Log'!$N$2:$N$500,MATCH(5,'Task Log'!$Q$2:$Q$500,0))="","",INDEX('Task Log'!$N$2:$N$500,MATCH(5,'Task Log'!$Q$2:$Q$500,0))),"")</f>
        <v>Upcoming</v>
      </c>
      <c r="L9" s="5" t="n">
        <f aca="false">IFERROR(IF(INDEX('Task Log'!$P$2:$P$500,MATCH(5,'Task Log'!$Q$2:$Q$500,0))="","",INDEX('Task Log'!$P$2:$P$500,MATCH(5,'Task Log'!$Q$2:$Q$500,0))),"")</f>
        <v>1</v>
      </c>
    </row>
    <row r="10" customFormat="false" ht="15" hidden="false" customHeight="false" outlineLevel="0" collapsed="false">
      <c r="A10" s="5" t="str">
        <f aca="false">IFERROR(IF(MATCH(6,'Task Log'!$Q$2:$Q$500,0)&gt;0,6,""),"")</f>
        <v/>
      </c>
      <c r="B10" s="15" t="str">
        <f aca="false">IFERROR(IF(INDEX('Task Log'!$C$2:$C$500,MATCH(6,'Task Log'!$Q$2:$Q$500,0))="","",INDEX('Task Log'!$C$2:$C$500,MATCH(6,'Task Log'!$Q$2:$Q$500,0))),"")</f>
        <v/>
      </c>
      <c r="C10" s="15" t="str">
        <f aca="false">IFERROR(IF(INDEX('Task Log'!$D$2:$D$500,MATCH(6,'Task Log'!$Q$2:$Q$500,0))="","",INDEX('Task Log'!$D$2:$D$500,MATCH(6,'Task Log'!$Q$2:$Q$500,0))),"")</f>
        <v/>
      </c>
      <c r="D10" s="15" t="str">
        <f aca="false">IFERROR(IF(INDEX('Task Log'!$E$2:$E$500,MATCH(6,'Task Log'!$Q$2:$Q$500,0))="","",INDEX('Task Log'!$E$2:$E$500,MATCH(6,'Task Log'!$Q$2:$Q$500,0))),"")</f>
        <v/>
      </c>
      <c r="E10" s="5" t="str">
        <f aca="false">IFERROR(IF(INDEX('Task Log'!$G$2:$G$500,MATCH(6,'Task Log'!$Q$2:$Q$500,0))="","",INDEX('Task Log'!$G$2:$G$500,MATCH(6,'Task Log'!$Q$2:$Q$500,0))),"")</f>
        <v/>
      </c>
      <c r="F10" s="11" t="str">
        <f aca="false">IFERROR(IF(INDEX('Task Log'!$H$2:$H$500,MATCH(6,'Task Log'!$Q$2:$Q$500,0))="","",INDEX('Task Log'!$H$2:$H$500,MATCH(6,'Task Log'!$Q$2:$Q$500,0))),"")</f>
        <v/>
      </c>
      <c r="G10" s="11" t="str">
        <f aca="false">IFERROR(IF(INDEX('Task Log'!$I$2:$I$500,MATCH(6,'Task Log'!$Q$2:$Q$500,0))="","",INDEX('Task Log'!$I$2:$I$500,MATCH(6,'Task Log'!$Q$2:$Q$500,0))),"")</f>
        <v/>
      </c>
      <c r="H10" s="15" t="str">
        <f aca="false">IFERROR(IF(INDEX('Task Log'!$J$2:$J$500,MATCH(6,'Task Log'!$Q$2:$Q$500,0))="","",INDEX('Task Log'!$J$2:$J$500,MATCH(6,'Task Log'!$Q$2:$Q$500,0))),"")</f>
        <v/>
      </c>
      <c r="I10" s="5" t="str">
        <f aca="false">IFERROR(IF(INDEX('Task Log'!$O$2:$O$500,MATCH(6,'Task Log'!$Q$2:$Q$500,0))="","",INDEX('Task Log'!$O$2:$O$500,MATCH(6,'Task Log'!$Q$2:$Q$500,0))),"")</f>
        <v/>
      </c>
      <c r="J10" s="5" t="str">
        <f aca="false">IFERROR(IF(INDEX('Task Log'!$K$2:$K$500,MATCH(6,'Task Log'!$Q$2:$Q$500,0))="","",INDEX('Task Log'!$K$2:$K$500,MATCH(6,'Task Log'!$Q$2:$Q$500,0))),"")</f>
        <v/>
      </c>
      <c r="K10" s="5" t="str">
        <f aca="false">IFERROR(IF(INDEX('Task Log'!$N$2:$N$500,MATCH(6,'Task Log'!$Q$2:$Q$500,0))="","",INDEX('Task Log'!$N$2:$N$500,MATCH(6,'Task Log'!$Q$2:$Q$500,0))),"")</f>
        <v/>
      </c>
      <c r="L10" s="5" t="str">
        <f aca="false">IFERROR(IF(INDEX('Task Log'!$P$2:$P$500,MATCH(6,'Task Log'!$Q$2:$Q$500,0))="","",INDEX('Task Log'!$P$2:$P$500,MATCH(6,'Task Log'!$Q$2:$Q$500,0))),"")</f>
        <v/>
      </c>
    </row>
    <row r="11" customFormat="false" ht="15" hidden="false" customHeight="false" outlineLevel="0" collapsed="false">
      <c r="A11" s="5" t="str">
        <f aca="false">IFERROR(IF(MATCH(7,'Task Log'!$Q$2:$Q$500,0)&gt;0,7,""),"")</f>
        <v/>
      </c>
      <c r="B11" s="15" t="str">
        <f aca="false">IFERROR(IF(INDEX('Task Log'!$C$2:$C$500,MATCH(7,'Task Log'!$Q$2:$Q$500,0))="","",INDEX('Task Log'!$C$2:$C$500,MATCH(7,'Task Log'!$Q$2:$Q$500,0))),"")</f>
        <v/>
      </c>
      <c r="C11" s="15" t="str">
        <f aca="false">IFERROR(IF(INDEX('Task Log'!$D$2:$D$500,MATCH(7,'Task Log'!$Q$2:$Q$500,0))="","",INDEX('Task Log'!$D$2:$D$500,MATCH(7,'Task Log'!$Q$2:$Q$500,0))),"")</f>
        <v/>
      </c>
      <c r="D11" s="15" t="str">
        <f aca="false">IFERROR(IF(INDEX('Task Log'!$E$2:$E$500,MATCH(7,'Task Log'!$Q$2:$Q$500,0))="","",INDEX('Task Log'!$E$2:$E$500,MATCH(7,'Task Log'!$Q$2:$Q$500,0))),"")</f>
        <v/>
      </c>
      <c r="E11" s="5" t="str">
        <f aca="false">IFERROR(IF(INDEX('Task Log'!$G$2:$G$500,MATCH(7,'Task Log'!$Q$2:$Q$500,0))="","",INDEX('Task Log'!$G$2:$G$500,MATCH(7,'Task Log'!$Q$2:$Q$500,0))),"")</f>
        <v/>
      </c>
      <c r="F11" s="11" t="str">
        <f aca="false">IFERROR(IF(INDEX('Task Log'!$H$2:$H$500,MATCH(7,'Task Log'!$Q$2:$Q$500,0))="","",INDEX('Task Log'!$H$2:$H$500,MATCH(7,'Task Log'!$Q$2:$Q$500,0))),"")</f>
        <v/>
      </c>
      <c r="G11" s="11" t="str">
        <f aca="false">IFERROR(IF(INDEX('Task Log'!$I$2:$I$500,MATCH(7,'Task Log'!$Q$2:$Q$500,0))="","",INDEX('Task Log'!$I$2:$I$500,MATCH(7,'Task Log'!$Q$2:$Q$500,0))),"")</f>
        <v/>
      </c>
      <c r="H11" s="15" t="str">
        <f aca="false">IFERROR(IF(INDEX('Task Log'!$J$2:$J$500,MATCH(7,'Task Log'!$Q$2:$Q$500,0))="","",INDEX('Task Log'!$J$2:$J$500,MATCH(7,'Task Log'!$Q$2:$Q$500,0))),"")</f>
        <v/>
      </c>
      <c r="I11" s="5" t="str">
        <f aca="false">IFERROR(IF(INDEX('Task Log'!$O$2:$O$500,MATCH(7,'Task Log'!$Q$2:$Q$500,0))="","",INDEX('Task Log'!$O$2:$O$500,MATCH(7,'Task Log'!$Q$2:$Q$500,0))),"")</f>
        <v/>
      </c>
      <c r="J11" s="5" t="str">
        <f aca="false">IFERROR(IF(INDEX('Task Log'!$K$2:$K$500,MATCH(7,'Task Log'!$Q$2:$Q$500,0))="","",INDEX('Task Log'!$K$2:$K$500,MATCH(7,'Task Log'!$Q$2:$Q$500,0))),"")</f>
        <v/>
      </c>
      <c r="K11" s="5" t="str">
        <f aca="false">IFERROR(IF(INDEX('Task Log'!$N$2:$N$500,MATCH(7,'Task Log'!$Q$2:$Q$500,0))="","",INDEX('Task Log'!$N$2:$N$500,MATCH(7,'Task Log'!$Q$2:$Q$500,0))),"")</f>
        <v/>
      </c>
      <c r="L11" s="5" t="str">
        <f aca="false">IFERROR(IF(INDEX('Task Log'!$P$2:$P$500,MATCH(7,'Task Log'!$Q$2:$Q$500,0))="","",INDEX('Task Log'!$P$2:$P$500,MATCH(7,'Task Log'!$Q$2:$Q$500,0))),"")</f>
        <v/>
      </c>
    </row>
    <row r="12" customFormat="false" ht="15" hidden="false" customHeight="false" outlineLevel="0" collapsed="false">
      <c r="A12" s="5" t="str">
        <f aca="false">IFERROR(IF(MATCH(8,'Task Log'!$Q$2:$Q$500,0)&gt;0,8,""),"")</f>
        <v/>
      </c>
      <c r="B12" s="15" t="str">
        <f aca="false">IFERROR(IF(INDEX('Task Log'!$C$2:$C$500,MATCH(8,'Task Log'!$Q$2:$Q$500,0))="","",INDEX('Task Log'!$C$2:$C$500,MATCH(8,'Task Log'!$Q$2:$Q$500,0))),"")</f>
        <v/>
      </c>
      <c r="C12" s="15" t="str">
        <f aca="false">IFERROR(IF(INDEX('Task Log'!$D$2:$D$500,MATCH(8,'Task Log'!$Q$2:$Q$500,0))="","",INDEX('Task Log'!$D$2:$D$500,MATCH(8,'Task Log'!$Q$2:$Q$500,0))),"")</f>
        <v/>
      </c>
      <c r="D12" s="15" t="str">
        <f aca="false">IFERROR(IF(INDEX('Task Log'!$E$2:$E$500,MATCH(8,'Task Log'!$Q$2:$Q$500,0))="","",INDEX('Task Log'!$E$2:$E$500,MATCH(8,'Task Log'!$Q$2:$Q$500,0))),"")</f>
        <v/>
      </c>
      <c r="E12" s="5" t="str">
        <f aca="false">IFERROR(IF(INDEX('Task Log'!$G$2:$G$500,MATCH(8,'Task Log'!$Q$2:$Q$500,0))="","",INDEX('Task Log'!$G$2:$G$500,MATCH(8,'Task Log'!$Q$2:$Q$500,0))),"")</f>
        <v/>
      </c>
      <c r="F12" s="11" t="str">
        <f aca="false">IFERROR(IF(INDEX('Task Log'!$H$2:$H$500,MATCH(8,'Task Log'!$Q$2:$Q$500,0))="","",INDEX('Task Log'!$H$2:$H$500,MATCH(8,'Task Log'!$Q$2:$Q$500,0))),"")</f>
        <v/>
      </c>
      <c r="G12" s="11" t="str">
        <f aca="false">IFERROR(IF(INDEX('Task Log'!$I$2:$I$500,MATCH(8,'Task Log'!$Q$2:$Q$500,0))="","",INDEX('Task Log'!$I$2:$I$500,MATCH(8,'Task Log'!$Q$2:$Q$500,0))),"")</f>
        <v/>
      </c>
      <c r="H12" s="15" t="str">
        <f aca="false">IFERROR(IF(INDEX('Task Log'!$J$2:$J$500,MATCH(8,'Task Log'!$Q$2:$Q$500,0))="","",INDEX('Task Log'!$J$2:$J$500,MATCH(8,'Task Log'!$Q$2:$Q$500,0))),"")</f>
        <v/>
      </c>
      <c r="I12" s="5" t="str">
        <f aca="false">IFERROR(IF(INDEX('Task Log'!$O$2:$O$500,MATCH(8,'Task Log'!$Q$2:$Q$500,0))="","",INDEX('Task Log'!$O$2:$O$500,MATCH(8,'Task Log'!$Q$2:$Q$500,0))),"")</f>
        <v/>
      </c>
      <c r="J12" s="5" t="str">
        <f aca="false">IFERROR(IF(INDEX('Task Log'!$K$2:$K$500,MATCH(8,'Task Log'!$Q$2:$Q$500,0))="","",INDEX('Task Log'!$K$2:$K$500,MATCH(8,'Task Log'!$Q$2:$Q$500,0))),"")</f>
        <v/>
      </c>
      <c r="K12" s="5" t="str">
        <f aca="false">IFERROR(IF(INDEX('Task Log'!$N$2:$N$500,MATCH(8,'Task Log'!$Q$2:$Q$500,0))="","",INDEX('Task Log'!$N$2:$N$500,MATCH(8,'Task Log'!$Q$2:$Q$500,0))),"")</f>
        <v/>
      </c>
      <c r="L12" s="5" t="str">
        <f aca="false">IFERROR(IF(INDEX('Task Log'!$P$2:$P$500,MATCH(8,'Task Log'!$Q$2:$Q$500,0))="","",INDEX('Task Log'!$P$2:$P$500,MATCH(8,'Task Log'!$Q$2:$Q$500,0))),"")</f>
        <v/>
      </c>
    </row>
    <row r="13" customFormat="false" ht="15" hidden="false" customHeight="false" outlineLevel="0" collapsed="false">
      <c r="A13" s="5" t="str">
        <f aca="false">IFERROR(IF(MATCH(9,'Task Log'!$Q$2:$Q$500,0)&gt;0,9,""),"")</f>
        <v/>
      </c>
      <c r="B13" s="15" t="str">
        <f aca="false">IFERROR(IF(INDEX('Task Log'!$C$2:$C$500,MATCH(9,'Task Log'!$Q$2:$Q$500,0))="","",INDEX('Task Log'!$C$2:$C$500,MATCH(9,'Task Log'!$Q$2:$Q$500,0))),"")</f>
        <v/>
      </c>
      <c r="C13" s="15" t="str">
        <f aca="false">IFERROR(IF(INDEX('Task Log'!$D$2:$D$500,MATCH(9,'Task Log'!$Q$2:$Q$500,0))="","",INDEX('Task Log'!$D$2:$D$500,MATCH(9,'Task Log'!$Q$2:$Q$500,0))),"")</f>
        <v/>
      </c>
      <c r="D13" s="15" t="str">
        <f aca="false">IFERROR(IF(INDEX('Task Log'!$E$2:$E$500,MATCH(9,'Task Log'!$Q$2:$Q$500,0))="","",INDEX('Task Log'!$E$2:$E$500,MATCH(9,'Task Log'!$Q$2:$Q$500,0))),"")</f>
        <v/>
      </c>
      <c r="E13" s="5" t="str">
        <f aca="false">IFERROR(IF(INDEX('Task Log'!$G$2:$G$500,MATCH(9,'Task Log'!$Q$2:$Q$500,0))="","",INDEX('Task Log'!$G$2:$G$500,MATCH(9,'Task Log'!$Q$2:$Q$500,0))),"")</f>
        <v/>
      </c>
      <c r="F13" s="11" t="str">
        <f aca="false">IFERROR(IF(INDEX('Task Log'!$H$2:$H$500,MATCH(9,'Task Log'!$Q$2:$Q$500,0))="","",INDEX('Task Log'!$H$2:$H$500,MATCH(9,'Task Log'!$Q$2:$Q$500,0))),"")</f>
        <v/>
      </c>
      <c r="G13" s="11" t="str">
        <f aca="false">IFERROR(IF(INDEX('Task Log'!$I$2:$I$500,MATCH(9,'Task Log'!$Q$2:$Q$500,0))="","",INDEX('Task Log'!$I$2:$I$500,MATCH(9,'Task Log'!$Q$2:$Q$500,0))),"")</f>
        <v/>
      </c>
      <c r="H13" s="15" t="str">
        <f aca="false">IFERROR(IF(INDEX('Task Log'!$J$2:$J$500,MATCH(9,'Task Log'!$Q$2:$Q$500,0))="","",INDEX('Task Log'!$J$2:$J$500,MATCH(9,'Task Log'!$Q$2:$Q$500,0))),"")</f>
        <v/>
      </c>
      <c r="I13" s="5" t="str">
        <f aca="false">IFERROR(IF(INDEX('Task Log'!$O$2:$O$500,MATCH(9,'Task Log'!$Q$2:$Q$500,0))="","",INDEX('Task Log'!$O$2:$O$500,MATCH(9,'Task Log'!$Q$2:$Q$500,0))),"")</f>
        <v/>
      </c>
      <c r="J13" s="5" t="str">
        <f aca="false">IFERROR(IF(INDEX('Task Log'!$K$2:$K$500,MATCH(9,'Task Log'!$Q$2:$Q$500,0))="","",INDEX('Task Log'!$K$2:$K$500,MATCH(9,'Task Log'!$Q$2:$Q$500,0))),"")</f>
        <v/>
      </c>
      <c r="K13" s="5" t="str">
        <f aca="false">IFERROR(IF(INDEX('Task Log'!$N$2:$N$500,MATCH(9,'Task Log'!$Q$2:$Q$500,0))="","",INDEX('Task Log'!$N$2:$N$500,MATCH(9,'Task Log'!$Q$2:$Q$500,0))),"")</f>
        <v/>
      </c>
      <c r="L13" s="5" t="str">
        <f aca="false">IFERROR(IF(INDEX('Task Log'!$P$2:$P$500,MATCH(9,'Task Log'!$Q$2:$Q$500,0))="","",INDEX('Task Log'!$P$2:$P$500,MATCH(9,'Task Log'!$Q$2:$Q$500,0))),"")</f>
        <v/>
      </c>
    </row>
    <row r="14" customFormat="false" ht="15" hidden="false" customHeight="false" outlineLevel="0" collapsed="false">
      <c r="A14" s="5" t="str">
        <f aca="false">IFERROR(IF(MATCH(10,'Task Log'!$Q$2:$Q$500,0)&gt;0,10,""),"")</f>
        <v/>
      </c>
      <c r="B14" s="15" t="str">
        <f aca="false">IFERROR(IF(INDEX('Task Log'!$C$2:$C$500,MATCH(10,'Task Log'!$Q$2:$Q$500,0))="","",INDEX('Task Log'!$C$2:$C$500,MATCH(10,'Task Log'!$Q$2:$Q$500,0))),"")</f>
        <v/>
      </c>
      <c r="C14" s="15" t="str">
        <f aca="false">IFERROR(IF(INDEX('Task Log'!$D$2:$D$500,MATCH(10,'Task Log'!$Q$2:$Q$500,0))="","",INDEX('Task Log'!$D$2:$D$500,MATCH(10,'Task Log'!$Q$2:$Q$500,0))),"")</f>
        <v/>
      </c>
      <c r="D14" s="15" t="str">
        <f aca="false">IFERROR(IF(INDEX('Task Log'!$E$2:$E$500,MATCH(10,'Task Log'!$Q$2:$Q$500,0))="","",INDEX('Task Log'!$E$2:$E$500,MATCH(10,'Task Log'!$Q$2:$Q$500,0))),"")</f>
        <v/>
      </c>
      <c r="E14" s="5" t="str">
        <f aca="false">IFERROR(IF(INDEX('Task Log'!$G$2:$G$500,MATCH(10,'Task Log'!$Q$2:$Q$500,0))="","",INDEX('Task Log'!$G$2:$G$500,MATCH(10,'Task Log'!$Q$2:$Q$500,0))),"")</f>
        <v/>
      </c>
      <c r="F14" s="11" t="str">
        <f aca="false">IFERROR(IF(INDEX('Task Log'!$H$2:$H$500,MATCH(10,'Task Log'!$Q$2:$Q$500,0))="","",INDEX('Task Log'!$H$2:$H$500,MATCH(10,'Task Log'!$Q$2:$Q$500,0))),"")</f>
        <v/>
      </c>
      <c r="G14" s="11" t="str">
        <f aca="false">IFERROR(IF(INDEX('Task Log'!$I$2:$I$500,MATCH(10,'Task Log'!$Q$2:$Q$500,0))="","",INDEX('Task Log'!$I$2:$I$500,MATCH(10,'Task Log'!$Q$2:$Q$500,0))),"")</f>
        <v/>
      </c>
      <c r="H14" s="15" t="str">
        <f aca="false">IFERROR(IF(INDEX('Task Log'!$J$2:$J$500,MATCH(10,'Task Log'!$Q$2:$Q$500,0))="","",INDEX('Task Log'!$J$2:$J$500,MATCH(10,'Task Log'!$Q$2:$Q$500,0))),"")</f>
        <v/>
      </c>
      <c r="I14" s="5" t="str">
        <f aca="false">IFERROR(IF(INDEX('Task Log'!$O$2:$O$500,MATCH(10,'Task Log'!$Q$2:$Q$500,0))="","",INDEX('Task Log'!$O$2:$O$500,MATCH(10,'Task Log'!$Q$2:$Q$500,0))),"")</f>
        <v/>
      </c>
      <c r="J14" s="5" t="str">
        <f aca="false">IFERROR(IF(INDEX('Task Log'!$K$2:$K$500,MATCH(10,'Task Log'!$Q$2:$Q$500,0))="","",INDEX('Task Log'!$K$2:$K$500,MATCH(10,'Task Log'!$Q$2:$Q$500,0))),"")</f>
        <v/>
      </c>
      <c r="K14" s="5" t="str">
        <f aca="false">IFERROR(IF(INDEX('Task Log'!$N$2:$N$500,MATCH(10,'Task Log'!$Q$2:$Q$500,0))="","",INDEX('Task Log'!$N$2:$N$500,MATCH(10,'Task Log'!$Q$2:$Q$500,0))),"")</f>
        <v/>
      </c>
      <c r="L14" s="5" t="str">
        <f aca="false">IFERROR(IF(INDEX('Task Log'!$P$2:$P$500,MATCH(10,'Task Log'!$Q$2:$Q$500,0))="","",INDEX('Task Log'!$P$2:$P$500,MATCH(10,'Task Log'!$Q$2:$Q$500,0))),"")</f>
        <v/>
      </c>
    </row>
    <row r="15" customFormat="false" ht="15" hidden="false" customHeight="false" outlineLevel="0" collapsed="false">
      <c r="A15" s="5" t="str">
        <f aca="false">IFERROR(IF(MATCH(11,'Task Log'!$Q$2:$Q$500,0)&gt;0,11,""),"")</f>
        <v/>
      </c>
      <c r="B15" s="15" t="str">
        <f aca="false">IFERROR(IF(INDEX('Task Log'!$C$2:$C$500,MATCH(11,'Task Log'!$Q$2:$Q$500,0))="","",INDEX('Task Log'!$C$2:$C$500,MATCH(11,'Task Log'!$Q$2:$Q$500,0))),"")</f>
        <v/>
      </c>
      <c r="C15" s="15" t="str">
        <f aca="false">IFERROR(IF(INDEX('Task Log'!$D$2:$D$500,MATCH(11,'Task Log'!$Q$2:$Q$500,0))="","",INDEX('Task Log'!$D$2:$D$500,MATCH(11,'Task Log'!$Q$2:$Q$500,0))),"")</f>
        <v/>
      </c>
      <c r="D15" s="15" t="str">
        <f aca="false">IFERROR(IF(INDEX('Task Log'!$E$2:$E$500,MATCH(11,'Task Log'!$Q$2:$Q$500,0))="","",INDEX('Task Log'!$E$2:$E$500,MATCH(11,'Task Log'!$Q$2:$Q$500,0))),"")</f>
        <v/>
      </c>
      <c r="E15" s="5" t="str">
        <f aca="false">IFERROR(IF(INDEX('Task Log'!$G$2:$G$500,MATCH(11,'Task Log'!$Q$2:$Q$500,0))="","",INDEX('Task Log'!$G$2:$G$500,MATCH(11,'Task Log'!$Q$2:$Q$500,0))),"")</f>
        <v/>
      </c>
      <c r="F15" s="11" t="str">
        <f aca="false">IFERROR(IF(INDEX('Task Log'!$H$2:$H$500,MATCH(11,'Task Log'!$Q$2:$Q$500,0))="","",INDEX('Task Log'!$H$2:$H$500,MATCH(11,'Task Log'!$Q$2:$Q$500,0))),"")</f>
        <v/>
      </c>
      <c r="G15" s="11" t="str">
        <f aca="false">IFERROR(IF(INDEX('Task Log'!$I$2:$I$500,MATCH(11,'Task Log'!$Q$2:$Q$500,0))="","",INDEX('Task Log'!$I$2:$I$500,MATCH(11,'Task Log'!$Q$2:$Q$500,0))),"")</f>
        <v/>
      </c>
      <c r="H15" s="15" t="str">
        <f aca="false">IFERROR(IF(INDEX('Task Log'!$J$2:$J$500,MATCH(11,'Task Log'!$Q$2:$Q$500,0))="","",INDEX('Task Log'!$J$2:$J$500,MATCH(11,'Task Log'!$Q$2:$Q$500,0))),"")</f>
        <v/>
      </c>
      <c r="I15" s="5" t="str">
        <f aca="false">IFERROR(IF(INDEX('Task Log'!$O$2:$O$500,MATCH(11,'Task Log'!$Q$2:$Q$500,0))="","",INDEX('Task Log'!$O$2:$O$500,MATCH(11,'Task Log'!$Q$2:$Q$500,0))),"")</f>
        <v/>
      </c>
      <c r="J15" s="5" t="str">
        <f aca="false">IFERROR(IF(INDEX('Task Log'!$K$2:$K$500,MATCH(11,'Task Log'!$Q$2:$Q$500,0))="","",INDEX('Task Log'!$K$2:$K$500,MATCH(11,'Task Log'!$Q$2:$Q$500,0))),"")</f>
        <v/>
      </c>
      <c r="K15" s="5" t="str">
        <f aca="false">IFERROR(IF(INDEX('Task Log'!$N$2:$N$500,MATCH(11,'Task Log'!$Q$2:$Q$500,0))="","",INDEX('Task Log'!$N$2:$N$500,MATCH(11,'Task Log'!$Q$2:$Q$500,0))),"")</f>
        <v/>
      </c>
      <c r="L15" s="5" t="str">
        <f aca="false">IFERROR(IF(INDEX('Task Log'!$P$2:$P$500,MATCH(11,'Task Log'!$Q$2:$Q$500,0))="","",INDEX('Task Log'!$P$2:$P$500,MATCH(11,'Task Log'!$Q$2:$Q$500,0))),"")</f>
        <v/>
      </c>
    </row>
    <row r="16" customFormat="false" ht="15" hidden="false" customHeight="false" outlineLevel="0" collapsed="false">
      <c r="A16" s="5" t="str">
        <f aca="false">IFERROR(IF(MATCH(12,'Task Log'!$Q$2:$Q$500,0)&gt;0,12,""),"")</f>
        <v/>
      </c>
      <c r="B16" s="15" t="str">
        <f aca="false">IFERROR(IF(INDEX('Task Log'!$C$2:$C$500,MATCH(12,'Task Log'!$Q$2:$Q$500,0))="","",INDEX('Task Log'!$C$2:$C$500,MATCH(12,'Task Log'!$Q$2:$Q$500,0))),"")</f>
        <v/>
      </c>
      <c r="C16" s="15" t="str">
        <f aca="false">IFERROR(IF(INDEX('Task Log'!$D$2:$D$500,MATCH(12,'Task Log'!$Q$2:$Q$500,0))="","",INDEX('Task Log'!$D$2:$D$500,MATCH(12,'Task Log'!$Q$2:$Q$500,0))),"")</f>
        <v/>
      </c>
      <c r="D16" s="15" t="str">
        <f aca="false">IFERROR(IF(INDEX('Task Log'!$E$2:$E$500,MATCH(12,'Task Log'!$Q$2:$Q$500,0))="","",INDEX('Task Log'!$E$2:$E$500,MATCH(12,'Task Log'!$Q$2:$Q$500,0))),"")</f>
        <v/>
      </c>
      <c r="E16" s="5" t="str">
        <f aca="false">IFERROR(IF(INDEX('Task Log'!$G$2:$G$500,MATCH(12,'Task Log'!$Q$2:$Q$500,0))="","",INDEX('Task Log'!$G$2:$G$500,MATCH(12,'Task Log'!$Q$2:$Q$500,0))),"")</f>
        <v/>
      </c>
      <c r="F16" s="11" t="str">
        <f aca="false">IFERROR(IF(INDEX('Task Log'!$H$2:$H$500,MATCH(12,'Task Log'!$Q$2:$Q$500,0))="","",INDEX('Task Log'!$H$2:$H$500,MATCH(12,'Task Log'!$Q$2:$Q$500,0))),"")</f>
        <v/>
      </c>
      <c r="G16" s="11" t="str">
        <f aca="false">IFERROR(IF(INDEX('Task Log'!$I$2:$I$500,MATCH(12,'Task Log'!$Q$2:$Q$500,0))="","",INDEX('Task Log'!$I$2:$I$500,MATCH(12,'Task Log'!$Q$2:$Q$500,0))),"")</f>
        <v/>
      </c>
      <c r="H16" s="15" t="str">
        <f aca="false">IFERROR(IF(INDEX('Task Log'!$J$2:$J$500,MATCH(12,'Task Log'!$Q$2:$Q$500,0))="","",INDEX('Task Log'!$J$2:$J$500,MATCH(12,'Task Log'!$Q$2:$Q$500,0))),"")</f>
        <v/>
      </c>
      <c r="I16" s="5" t="str">
        <f aca="false">IFERROR(IF(INDEX('Task Log'!$O$2:$O$500,MATCH(12,'Task Log'!$Q$2:$Q$500,0))="","",INDEX('Task Log'!$O$2:$O$500,MATCH(12,'Task Log'!$Q$2:$Q$500,0))),"")</f>
        <v/>
      </c>
      <c r="J16" s="5" t="str">
        <f aca="false">IFERROR(IF(INDEX('Task Log'!$K$2:$K$500,MATCH(12,'Task Log'!$Q$2:$Q$500,0))="","",INDEX('Task Log'!$K$2:$K$500,MATCH(12,'Task Log'!$Q$2:$Q$500,0))),"")</f>
        <v/>
      </c>
      <c r="K16" s="5" t="str">
        <f aca="false">IFERROR(IF(INDEX('Task Log'!$N$2:$N$500,MATCH(12,'Task Log'!$Q$2:$Q$500,0))="","",INDEX('Task Log'!$N$2:$N$500,MATCH(12,'Task Log'!$Q$2:$Q$500,0))),"")</f>
        <v/>
      </c>
      <c r="L16" s="5" t="str">
        <f aca="false">IFERROR(IF(INDEX('Task Log'!$P$2:$P$500,MATCH(12,'Task Log'!$Q$2:$Q$500,0))="","",INDEX('Task Log'!$P$2:$P$500,MATCH(12,'Task Log'!$Q$2:$Q$500,0))),"")</f>
        <v/>
      </c>
    </row>
    <row r="17" customFormat="false" ht="15" hidden="false" customHeight="false" outlineLevel="0" collapsed="false">
      <c r="A17" s="5" t="str">
        <f aca="false">IFERROR(IF(MATCH(13,'Task Log'!$Q$2:$Q$500,0)&gt;0,13,""),"")</f>
        <v/>
      </c>
      <c r="B17" s="15" t="str">
        <f aca="false">IFERROR(IF(INDEX('Task Log'!$C$2:$C$500,MATCH(13,'Task Log'!$Q$2:$Q$500,0))="","",INDEX('Task Log'!$C$2:$C$500,MATCH(13,'Task Log'!$Q$2:$Q$500,0))),"")</f>
        <v/>
      </c>
      <c r="C17" s="15" t="str">
        <f aca="false">IFERROR(IF(INDEX('Task Log'!$D$2:$D$500,MATCH(13,'Task Log'!$Q$2:$Q$500,0))="","",INDEX('Task Log'!$D$2:$D$500,MATCH(13,'Task Log'!$Q$2:$Q$500,0))),"")</f>
        <v/>
      </c>
      <c r="D17" s="15" t="str">
        <f aca="false">IFERROR(IF(INDEX('Task Log'!$E$2:$E$500,MATCH(13,'Task Log'!$Q$2:$Q$500,0))="","",INDEX('Task Log'!$E$2:$E$500,MATCH(13,'Task Log'!$Q$2:$Q$500,0))),"")</f>
        <v/>
      </c>
      <c r="E17" s="5" t="str">
        <f aca="false">IFERROR(IF(INDEX('Task Log'!$G$2:$G$500,MATCH(13,'Task Log'!$Q$2:$Q$500,0))="","",INDEX('Task Log'!$G$2:$G$500,MATCH(13,'Task Log'!$Q$2:$Q$500,0))),"")</f>
        <v/>
      </c>
      <c r="F17" s="11" t="str">
        <f aca="false">IFERROR(IF(INDEX('Task Log'!$H$2:$H$500,MATCH(13,'Task Log'!$Q$2:$Q$500,0))="","",INDEX('Task Log'!$H$2:$H$500,MATCH(13,'Task Log'!$Q$2:$Q$500,0))),"")</f>
        <v/>
      </c>
      <c r="G17" s="11" t="str">
        <f aca="false">IFERROR(IF(INDEX('Task Log'!$I$2:$I$500,MATCH(13,'Task Log'!$Q$2:$Q$500,0))="","",INDEX('Task Log'!$I$2:$I$500,MATCH(13,'Task Log'!$Q$2:$Q$500,0))),"")</f>
        <v/>
      </c>
      <c r="H17" s="15" t="str">
        <f aca="false">IFERROR(IF(INDEX('Task Log'!$J$2:$J$500,MATCH(13,'Task Log'!$Q$2:$Q$500,0))="","",INDEX('Task Log'!$J$2:$J$500,MATCH(13,'Task Log'!$Q$2:$Q$500,0))),"")</f>
        <v/>
      </c>
      <c r="I17" s="5" t="str">
        <f aca="false">IFERROR(IF(INDEX('Task Log'!$O$2:$O$500,MATCH(13,'Task Log'!$Q$2:$Q$500,0))="","",INDEX('Task Log'!$O$2:$O$500,MATCH(13,'Task Log'!$Q$2:$Q$500,0))),"")</f>
        <v/>
      </c>
      <c r="J17" s="5" t="str">
        <f aca="false">IFERROR(IF(INDEX('Task Log'!$K$2:$K$500,MATCH(13,'Task Log'!$Q$2:$Q$500,0))="","",INDEX('Task Log'!$K$2:$K$500,MATCH(13,'Task Log'!$Q$2:$Q$500,0))),"")</f>
        <v/>
      </c>
      <c r="K17" s="5" t="str">
        <f aca="false">IFERROR(IF(INDEX('Task Log'!$N$2:$N$500,MATCH(13,'Task Log'!$Q$2:$Q$500,0))="","",INDEX('Task Log'!$N$2:$N$500,MATCH(13,'Task Log'!$Q$2:$Q$500,0))),"")</f>
        <v/>
      </c>
      <c r="L17" s="5" t="str">
        <f aca="false">IFERROR(IF(INDEX('Task Log'!$P$2:$P$500,MATCH(13,'Task Log'!$Q$2:$Q$500,0))="","",INDEX('Task Log'!$P$2:$P$500,MATCH(13,'Task Log'!$Q$2:$Q$500,0))),"")</f>
        <v/>
      </c>
    </row>
    <row r="18" customFormat="false" ht="15" hidden="false" customHeight="false" outlineLevel="0" collapsed="false">
      <c r="A18" s="5" t="str">
        <f aca="false">IFERROR(IF(MATCH(14,'Task Log'!$Q$2:$Q$500,0)&gt;0,14,""),"")</f>
        <v/>
      </c>
      <c r="B18" s="15" t="str">
        <f aca="false">IFERROR(IF(INDEX('Task Log'!$C$2:$C$500,MATCH(14,'Task Log'!$Q$2:$Q$500,0))="","",INDEX('Task Log'!$C$2:$C$500,MATCH(14,'Task Log'!$Q$2:$Q$500,0))),"")</f>
        <v/>
      </c>
      <c r="C18" s="15" t="str">
        <f aca="false">IFERROR(IF(INDEX('Task Log'!$D$2:$D$500,MATCH(14,'Task Log'!$Q$2:$Q$500,0))="","",INDEX('Task Log'!$D$2:$D$500,MATCH(14,'Task Log'!$Q$2:$Q$500,0))),"")</f>
        <v/>
      </c>
      <c r="D18" s="15" t="str">
        <f aca="false">IFERROR(IF(INDEX('Task Log'!$E$2:$E$500,MATCH(14,'Task Log'!$Q$2:$Q$500,0))="","",INDEX('Task Log'!$E$2:$E$500,MATCH(14,'Task Log'!$Q$2:$Q$500,0))),"")</f>
        <v/>
      </c>
      <c r="E18" s="5" t="str">
        <f aca="false">IFERROR(IF(INDEX('Task Log'!$G$2:$G$500,MATCH(14,'Task Log'!$Q$2:$Q$500,0))="","",INDEX('Task Log'!$G$2:$G$500,MATCH(14,'Task Log'!$Q$2:$Q$500,0))),"")</f>
        <v/>
      </c>
      <c r="F18" s="11" t="str">
        <f aca="false">IFERROR(IF(INDEX('Task Log'!$H$2:$H$500,MATCH(14,'Task Log'!$Q$2:$Q$500,0))="","",INDEX('Task Log'!$H$2:$H$500,MATCH(14,'Task Log'!$Q$2:$Q$500,0))),"")</f>
        <v/>
      </c>
      <c r="G18" s="11" t="str">
        <f aca="false">IFERROR(IF(INDEX('Task Log'!$I$2:$I$500,MATCH(14,'Task Log'!$Q$2:$Q$500,0))="","",INDEX('Task Log'!$I$2:$I$500,MATCH(14,'Task Log'!$Q$2:$Q$500,0))),"")</f>
        <v/>
      </c>
      <c r="H18" s="15" t="str">
        <f aca="false">IFERROR(IF(INDEX('Task Log'!$J$2:$J$500,MATCH(14,'Task Log'!$Q$2:$Q$500,0))="","",INDEX('Task Log'!$J$2:$J$500,MATCH(14,'Task Log'!$Q$2:$Q$500,0))),"")</f>
        <v/>
      </c>
      <c r="I18" s="5" t="str">
        <f aca="false">IFERROR(IF(INDEX('Task Log'!$O$2:$O$500,MATCH(14,'Task Log'!$Q$2:$Q$500,0))="","",INDEX('Task Log'!$O$2:$O$500,MATCH(14,'Task Log'!$Q$2:$Q$500,0))),"")</f>
        <v/>
      </c>
      <c r="J18" s="5" t="str">
        <f aca="false">IFERROR(IF(INDEX('Task Log'!$K$2:$K$500,MATCH(14,'Task Log'!$Q$2:$Q$500,0))="","",INDEX('Task Log'!$K$2:$K$500,MATCH(14,'Task Log'!$Q$2:$Q$500,0))),"")</f>
        <v/>
      </c>
      <c r="K18" s="5" t="str">
        <f aca="false">IFERROR(IF(INDEX('Task Log'!$N$2:$N$500,MATCH(14,'Task Log'!$Q$2:$Q$500,0))="","",INDEX('Task Log'!$N$2:$N$500,MATCH(14,'Task Log'!$Q$2:$Q$500,0))),"")</f>
        <v/>
      </c>
      <c r="L18" s="5" t="str">
        <f aca="false">IFERROR(IF(INDEX('Task Log'!$P$2:$P$500,MATCH(14,'Task Log'!$Q$2:$Q$500,0))="","",INDEX('Task Log'!$P$2:$P$500,MATCH(14,'Task Log'!$Q$2:$Q$500,0))),"")</f>
        <v/>
      </c>
    </row>
    <row r="19" customFormat="false" ht="15" hidden="false" customHeight="false" outlineLevel="0" collapsed="false">
      <c r="A19" s="5" t="str">
        <f aca="false">IFERROR(IF(MATCH(15,'Task Log'!$Q$2:$Q$500,0)&gt;0,15,""),"")</f>
        <v/>
      </c>
      <c r="B19" s="15" t="str">
        <f aca="false">IFERROR(IF(INDEX('Task Log'!$C$2:$C$500,MATCH(15,'Task Log'!$Q$2:$Q$500,0))="","",INDEX('Task Log'!$C$2:$C$500,MATCH(15,'Task Log'!$Q$2:$Q$500,0))),"")</f>
        <v/>
      </c>
      <c r="C19" s="15" t="str">
        <f aca="false">IFERROR(IF(INDEX('Task Log'!$D$2:$D$500,MATCH(15,'Task Log'!$Q$2:$Q$500,0))="","",INDEX('Task Log'!$D$2:$D$500,MATCH(15,'Task Log'!$Q$2:$Q$500,0))),"")</f>
        <v/>
      </c>
      <c r="D19" s="15" t="str">
        <f aca="false">IFERROR(IF(INDEX('Task Log'!$E$2:$E$500,MATCH(15,'Task Log'!$Q$2:$Q$500,0))="","",INDEX('Task Log'!$E$2:$E$500,MATCH(15,'Task Log'!$Q$2:$Q$500,0))),"")</f>
        <v/>
      </c>
      <c r="E19" s="5" t="str">
        <f aca="false">IFERROR(IF(INDEX('Task Log'!$G$2:$G$500,MATCH(15,'Task Log'!$Q$2:$Q$500,0))="","",INDEX('Task Log'!$G$2:$G$500,MATCH(15,'Task Log'!$Q$2:$Q$500,0))),"")</f>
        <v/>
      </c>
      <c r="F19" s="11" t="str">
        <f aca="false">IFERROR(IF(INDEX('Task Log'!$H$2:$H$500,MATCH(15,'Task Log'!$Q$2:$Q$500,0))="","",INDEX('Task Log'!$H$2:$H$500,MATCH(15,'Task Log'!$Q$2:$Q$500,0))),"")</f>
        <v/>
      </c>
      <c r="G19" s="11" t="str">
        <f aca="false">IFERROR(IF(INDEX('Task Log'!$I$2:$I$500,MATCH(15,'Task Log'!$Q$2:$Q$500,0))="","",INDEX('Task Log'!$I$2:$I$500,MATCH(15,'Task Log'!$Q$2:$Q$500,0))),"")</f>
        <v/>
      </c>
      <c r="H19" s="15" t="str">
        <f aca="false">IFERROR(IF(INDEX('Task Log'!$J$2:$J$500,MATCH(15,'Task Log'!$Q$2:$Q$500,0))="","",INDEX('Task Log'!$J$2:$J$500,MATCH(15,'Task Log'!$Q$2:$Q$500,0))),"")</f>
        <v/>
      </c>
      <c r="I19" s="5" t="str">
        <f aca="false">IFERROR(IF(INDEX('Task Log'!$O$2:$O$500,MATCH(15,'Task Log'!$Q$2:$Q$500,0))="","",INDEX('Task Log'!$O$2:$O$500,MATCH(15,'Task Log'!$Q$2:$Q$500,0))),"")</f>
        <v/>
      </c>
      <c r="J19" s="5" t="str">
        <f aca="false">IFERROR(IF(INDEX('Task Log'!$K$2:$K$500,MATCH(15,'Task Log'!$Q$2:$Q$500,0))="","",INDEX('Task Log'!$K$2:$K$500,MATCH(15,'Task Log'!$Q$2:$Q$500,0))),"")</f>
        <v/>
      </c>
      <c r="K19" s="5" t="str">
        <f aca="false">IFERROR(IF(INDEX('Task Log'!$N$2:$N$500,MATCH(15,'Task Log'!$Q$2:$Q$500,0))="","",INDEX('Task Log'!$N$2:$N$500,MATCH(15,'Task Log'!$Q$2:$Q$500,0))),"")</f>
        <v/>
      </c>
      <c r="L19" s="5" t="str">
        <f aca="false">IFERROR(IF(INDEX('Task Log'!$P$2:$P$500,MATCH(15,'Task Log'!$Q$2:$Q$500,0))="","",INDEX('Task Log'!$P$2:$P$500,MATCH(15,'Task Log'!$Q$2:$Q$500,0))),"")</f>
        <v/>
      </c>
    </row>
    <row r="20" customFormat="false" ht="15" hidden="false" customHeight="false" outlineLevel="0" collapsed="false">
      <c r="A20" s="5" t="str">
        <f aca="false">IFERROR(IF(MATCH(16,'Task Log'!$Q$2:$Q$500,0)&gt;0,16,""),"")</f>
        <v/>
      </c>
      <c r="B20" s="15" t="str">
        <f aca="false">IFERROR(IF(INDEX('Task Log'!$C$2:$C$500,MATCH(16,'Task Log'!$Q$2:$Q$500,0))="","",INDEX('Task Log'!$C$2:$C$500,MATCH(16,'Task Log'!$Q$2:$Q$500,0))),"")</f>
        <v/>
      </c>
      <c r="C20" s="15" t="str">
        <f aca="false">IFERROR(IF(INDEX('Task Log'!$D$2:$D$500,MATCH(16,'Task Log'!$Q$2:$Q$500,0))="","",INDEX('Task Log'!$D$2:$D$500,MATCH(16,'Task Log'!$Q$2:$Q$500,0))),"")</f>
        <v/>
      </c>
      <c r="D20" s="15" t="str">
        <f aca="false">IFERROR(IF(INDEX('Task Log'!$E$2:$E$500,MATCH(16,'Task Log'!$Q$2:$Q$500,0))="","",INDEX('Task Log'!$E$2:$E$500,MATCH(16,'Task Log'!$Q$2:$Q$500,0))),"")</f>
        <v/>
      </c>
      <c r="E20" s="5" t="str">
        <f aca="false">IFERROR(IF(INDEX('Task Log'!$G$2:$G$500,MATCH(16,'Task Log'!$Q$2:$Q$500,0))="","",INDEX('Task Log'!$G$2:$G$500,MATCH(16,'Task Log'!$Q$2:$Q$500,0))),"")</f>
        <v/>
      </c>
      <c r="F20" s="11" t="str">
        <f aca="false">IFERROR(IF(INDEX('Task Log'!$H$2:$H$500,MATCH(16,'Task Log'!$Q$2:$Q$500,0))="","",INDEX('Task Log'!$H$2:$H$500,MATCH(16,'Task Log'!$Q$2:$Q$500,0))),"")</f>
        <v/>
      </c>
      <c r="G20" s="11" t="str">
        <f aca="false">IFERROR(IF(INDEX('Task Log'!$I$2:$I$500,MATCH(16,'Task Log'!$Q$2:$Q$500,0))="","",INDEX('Task Log'!$I$2:$I$500,MATCH(16,'Task Log'!$Q$2:$Q$500,0))),"")</f>
        <v/>
      </c>
      <c r="H20" s="15" t="str">
        <f aca="false">IFERROR(IF(INDEX('Task Log'!$J$2:$J$500,MATCH(16,'Task Log'!$Q$2:$Q$500,0))="","",INDEX('Task Log'!$J$2:$J$500,MATCH(16,'Task Log'!$Q$2:$Q$500,0))),"")</f>
        <v/>
      </c>
      <c r="I20" s="5" t="str">
        <f aca="false">IFERROR(IF(INDEX('Task Log'!$O$2:$O$500,MATCH(16,'Task Log'!$Q$2:$Q$500,0))="","",INDEX('Task Log'!$O$2:$O$500,MATCH(16,'Task Log'!$Q$2:$Q$500,0))),"")</f>
        <v/>
      </c>
      <c r="J20" s="5" t="str">
        <f aca="false">IFERROR(IF(INDEX('Task Log'!$K$2:$K$500,MATCH(16,'Task Log'!$Q$2:$Q$500,0))="","",INDEX('Task Log'!$K$2:$K$500,MATCH(16,'Task Log'!$Q$2:$Q$500,0))),"")</f>
        <v/>
      </c>
      <c r="K20" s="5" t="str">
        <f aca="false">IFERROR(IF(INDEX('Task Log'!$N$2:$N$500,MATCH(16,'Task Log'!$Q$2:$Q$500,0))="","",INDEX('Task Log'!$N$2:$N$500,MATCH(16,'Task Log'!$Q$2:$Q$500,0))),"")</f>
        <v/>
      </c>
      <c r="L20" s="5" t="str">
        <f aca="false">IFERROR(IF(INDEX('Task Log'!$P$2:$P$500,MATCH(16,'Task Log'!$Q$2:$Q$500,0))="","",INDEX('Task Log'!$P$2:$P$500,MATCH(16,'Task Log'!$Q$2:$Q$500,0))),"")</f>
        <v/>
      </c>
    </row>
    <row r="21" customFormat="false" ht="15" hidden="false" customHeight="false" outlineLevel="0" collapsed="false">
      <c r="A21" s="5" t="str">
        <f aca="false">IFERROR(IF(MATCH(17,'Task Log'!$Q$2:$Q$500,0)&gt;0,17,""),"")</f>
        <v/>
      </c>
      <c r="B21" s="15" t="str">
        <f aca="false">IFERROR(IF(INDEX('Task Log'!$C$2:$C$500,MATCH(17,'Task Log'!$Q$2:$Q$500,0))="","",INDEX('Task Log'!$C$2:$C$500,MATCH(17,'Task Log'!$Q$2:$Q$500,0))),"")</f>
        <v/>
      </c>
      <c r="C21" s="15" t="str">
        <f aca="false">IFERROR(IF(INDEX('Task Log'!$D$2:$D$500,MATCH(17,'Task Log'!$Q$2:$Q$500,0))="","",INDEX('Task Log'!$D$2:$D$500,MATCH(17,'Task Log'!$Q$2:$Q$500,0))),"")</f>
        <v/>
      </c>
      <c r="D21" s="15" t="str">
        <f aca="false">IFERROR(IF(INDEX('Task Log'!$E$2:$E$500,MATCH(17,'Task Log'!$Q$2:$Q$500,0))="","",INDEX('Task Log'!$E$2:$E$500,MATCH(17,'Task Log'!$Q$2:$Q$500,0))),"")</f>
        <v/>
      </c>
      <c r="E21" s="5" t="str">
        <f aca="false">IFERROR(IF(INDEX('Task Log'!$G$2:$G$500,MATCH(17,'Task Log'!$Q$2:$Q$500,0))="","",INDEX('Task Log'!$G$2:$G$500,MATCH(17,'Task Log'!$Q$2:$Q$500,0))),"")</f>
        <v/>
      </c>
      <c r="F21" s="11" t="str">
        <f aca="false">IFERROR(IF(INDEX('Task Log'!$H$2:$H$500,MATCH(17,'Task Log'!$Q$2:$Q$500,0))="","",INDEX('Task Log'!$H$2:$H$500,MATCH(17,'Task Log'!$Q$2:$Q$500,0))),"")</f>
        <v/>
      </c>
      <c r="G21" s="11" t="str">
        <f aca="false">IFERROR(IF(INDEX('Task Log'!$I$2:$I$500,MATCH(17,'Task Log'!$Q$2:$Q$500,0))="","",INDEX('Task Log'!$I$2:$I$500,MATCH(17,'Task Log'!$Q$2:$Q$500,0))),"")</f>
        <v/>
      </c>
      <c r="H21" s="15" t="str">
        <f aca="false">IFERROR(IF(INDEX('Task Log'!$J$2:$J$500,MATCH(17,'Task Log'!$Q$2:$Q$500,0))="","",INDEX('Task Log'!$J$2:$J$500,MATCH(17,'Task Log'!$Q$2:$Q$500,0))),"")</f>
        <v/>
      </c>
      <c r="I21" s="5" t="str">
        <f aca="false">IFERROR(IF(INDEX('Task Log'!$O$2:$O$500,MATCH(17,'Task Log'!$Q$2:$Q$500,0))="","",INDEX('Task Log'!$O$2:$O$500,MATCH(17,'Task Log'!$Q$2:$Q$500,0))),"")</f>
        <v/>
      </c>
      <c r="J21" s="5" t="str">
        <f aca="false">IFERROR(IF(INDEX('Task Log'!$K$2:$K$500,MATCH(17,'Task Log'!$Q$2:$Q$500,0))="","",INDEX('Task Log'!$K$2:$K$500,MATCH(17,'Task Log'!$Q$2:$Q$500,0))),"")</f>
        <v/>
      </c>
      <c r="K21" s="5" t="str">
        <f aca="false">IFERROR(IF(INDEX('Task Log'!$N$2:$N$500,MATCH(17,'Task Log'!$Q$2:$Q$500,0))="","",INDEX('Task Log'!$N$2:$N$500,MATCH(17,'Task Log'!$Q$2:$Q$500,0))),"")</f>
        <v/>
      </c>
      <c r="L21" s="5" t="str">
        <f aca="false">IFERROR(IF(INDEX('Task Log'!$P$2:$P$500,MATCH(17,'Task Log'!$Q$2:$Q$500,0))="","",INDEX('Task Log'!$P$2:$P$500,MATCH(17,'Task Log'!$Q$2:$Q$500,0))),"")</f>
        <v/>
      </c>
    </row>
    <row r="22" customFormat="false" ht="15" hidden="false" customHeight="false" outlineLevel="0" collapsed="false">
      <c r="A22" s="5" t="str">
        <f aca="false">IFERROR(IF(MATCH(18,'Task Log'!$Q$2:$Q$500,0)&gt;0,18,""),"")</f>
        <v/>
      </c>
      <c r="B22" s="15" t="str">
        <f aca="false">IFERROR(IF(INDEX('Task Log'!$C$2:$C$500,MATCH(18,'Task Log'!$Q$2:$Q$500,0))="","",INDEX('Task Log'!$C$2:$C$500,MATCH(18,'Task Log'!$Q$2:$Q$500,0))),"")</f>
        <v/>
      </c>
      <c r="C22" s="15" t="str">
        <f aca="false">IFERROR(IF(INDEX('Task Log'!$D$2:$D$500,MATCH(18,'Task Log'!$Q$2:$Q$500,0))="","",INDEX('Task Log'!$D$2:$D$500,MATCH(18,'Task Log'!$Q$2:$Q$500,0))),"")</f>
        <v/>
      </c>
      <c r="D22" s="15" t="str">
        <f aca="false">IFERROR(IF(INDEX('Task Log'!$E$2:$E$500,MATCH(18,'Task Log'!$Q$2:$Q$500,0))="","",INDEX('Task Log'!$E$2:$E$500,MATCH(18,'Task Log'!$Q$2:$Q$500,0))),"")</f>
        <v/>
      </c>
      <c r="E22" s="5" t="str">
        <f aca="false">IFERROR(IF(INDEX('Task Log'!$G$2:$G$500,MATCH(18,'Task Log'!$Q$2:$Q$500,0))="","",INDEX('Task Log'!$G$2:$G$500,MATCH(18,'Task Log'!$Q$2:$Q$500,0))),"")</f>
        <v/>
      </c>
      <c r="F22" s="11" t="str">
        <f aca="false">IFERROR(IF(INDEX('Task Log'!$H$2:$H$500,MATCH(18,'Task Log'!$Q$2:$Q$500,0))="","",INDEX('Task Log'!$H$2:$H$500,MATCH(18,'Task Log'!$Q$2:$Q$500,0))),"")</f>
        <v/>
      </c>
      <c r="G22" s="11" t="str">
        <f aca="false">IFERROR(IF(INDEX('Task Log'!$I$2:$I$500,MATCH(18,'Task Log'!$Q$2:$Q$500,0))="","",INDEX('Task Log'!$I$2:$I$500,MATCH(18,'Task Log'!$Q$2:$Q$500,0))),"")</f>
        <v/>
      </c>
      <c r="H22" s="15" t="str">
        <f aca="false">IFERROR(IF(INDEX('Task Log'!$J$2:$J$500,MATCH(18,'Task Log'!$Q$2:$Q$500,0))="","",INDEX('Task Log'!$J$2:$J$500,MATCH(18,'Task Log'!$Q$2:$Q$500,0))),"")</f>
        <v/>
      </c>
      <c r="I22" s="5" t="str">
        <f aca="false">IFERROR(IF(INDEX('Task Log'!$O$2:$O$500,MATCH(18,'Task Log'!$Q$2:$Q$500,0))="","",INDEX('Task Log'!$O$2:$O$500,MATCH(18,'Task Log'!$Q$2:$Q$500,0))),"")</f>
        <v/>
      </c>
      <c r="J22" s="5" t="str">
        <f aca="false">IFERROR(IF(INDEX('Task Log'!$K$2:$K$500,MATCH(18,'Task Log'!$Q$2:$Q$500,0))="","",INDEX('Task Log'!$K$2:$K$500,MATCH(18,'Task Log'!$Q$2:$Q$500,0))),"")</f>
        <v/>
      </c>
      <c r="K22" s="5" t="str">
        <f aca="false">IFERROR(IF(INDEX('Task Log'!$N$2:$N$500,MATCH(18,'Task Log'!$Q$2:$Q$500,0))="","",INDEX('Task Log'!$N$2:$N$500,MATCH(18,'Task Log'!$Q$2:$Q$500,0))),"")</f>
        <v/>
      </c>
      <c r="L22" s="5" t="str">
        <f aca="false">IFERROR(IF(INDEX('Task Log'!$P$2:$P$500,MATCH(18,'Task Log'!$Q$2:$Q$500,0))="","",INDEX('Task Log'!$P$2:$P$500,MATCH(18,'Task Log'!$Q$2:$Q$500,0))),"")</f>
        <v/>
      </c>
    </row>
    <row r="23" customFormat="false" ht="15" hidden="false" customHeight="false" outlineLevel="0" collapsed="false">
      <c r="A23" s="5" t="str">
        <f aca="false">IFERROR(IF(MATCH(19,'Task Log'!$Q$2:$Q$500,0)&gt;0,19,""),"")</f>
        <v/>
      </c>
      <c r="B23" s="15" t="str">
        <f aca="false">IFERROR(IF(INDEX('Task Log'!$C$2:$C$500,MATCH(19,'Task Log'!$Q$2:$Q$500,0))="","",INDEX('Task Log'!$C$2:$C$500,MATCH(19,'Task Log'!$Q$2:$Q$500,0))),"")</f>
        <v/>
      </c>
      <c r="C23" s="15" t="str">
        <f aca="false">IFERROR(IF(INDEX('Task Log'!$D$2:$D$500,MATCH(19,'Task Log'!$Q$2:$Q$500,0))="","",INDEX('Task Log'!$D$2:$D$500,MATCH(19,'Task Log'!$Q$2:$Q$500,0))),"")</f>
        <v/>
      </c>
      <c r="D23" s="15" t="str">
        <f aca="false">IFERROR(IF(INDEX('Task Log'!$E$2:$E$500,MATCH(19,'Task Log'!$Q$2:$Q$500,0))="","",INDEX('Task Log'!$E$2:$E$500,MATCH(19,'Task Log'!$Q$2:$Q$500,0))),"")</f>
        <v/>
      </c>
      <c r="E23" s="5" t="str">
        <f aca="false">IFERROR(IF(INDEX('Task Log'!$G$2:$G$500,MATCH(19,'Task Log'!$Q$2:$Q$500,0))="","",INDEX('Task Log'!$G$2:$G$500,MATCH(19,'Task Log'!$Q$2:$Q$500,0))),"")</f>
        <v/>
      </c>
      <c r="F23" s="11" t="str">
        <f aca="false">IFERROR(IF(INDEX('Task Log'!$H$2:$H$500,MATCH(19,'Task Log'!$Q$2:$Q$500,0))="","",INDEX('Task Log'!$H$2:$H$500,MATCH(19,'Task Log'!$Q$2:$Q$500,0))),"")</f>
        <v/>
      </c>
      <c r="G23" s="11" t="str">
        <f aca="false">IFERROR(IF(INDEX('Task Log'!$I$2:$I$500,MATCH(19,'Task Log'!$Q$2:$Q$500,0))="","",INDEX('Task Log'!$I$2:$I$500,MATCH(19,'Task Log'!$Q$2:$Q$500,0))),"")</f>
        <v/>
      </c>
      <c r="H23" s="15" t="str">
        <f aca="false">IFERROR(IF(INDEX('Task Log'!$J$2:$J$500,MATCH(19,'Task Log'!$Q$2:$Q$500,0))="","",INDEX('Task Log'!$J$2:$J$500,MATCH(19,'Task Log'!$Q$2:$Q$500,0))),"")</f>
        <v/>
      </c>
      <c r="I23" s="5" t="str">
        <f aca="false">IFERROR(IF(INDEX('Task Log'!$O$2:$O$500,MATCH(19,'Task Log'!$Q$2:$Q$500,0))="","",INDEX('Task Log'!$O$2:$O$500,MATCH(19,'Task Log'!$Q$2:$Q$500,0))),"")</f>
        <v/>
      </c>
      <c r="J23" s="5" t="str">
        <f aca="false">IFERROR(IF(INDEX('Task Log'!$K$2:$K$500,MATCH(19,'Task Log'!$Q$2:$Q$500,0))="","",INDEX('Task Log'!$K$2:$K$500,MATCH(19,'Task Log'!$Q$2:$Q$500,0))),"")</f>
        <v/>
      </c>
      <c r="K23" s="5" t="str">
        <f aca="false">IFERROR(IF(INDEX('Task Log'!$N$2:$N$500,MATCH(19,'Task Log'!$Q$2:$Q$500,0))="","",INDEX('Task Log'!$N$2:$N$500,MATCH(19,'Task Log'!$Q$2:$Q$500,0))),"")</f>
        <v/>
      </c>
      <c r="L23" s="5" t="str">
        <f aca="false">IFERROR(IF(INDEX('Task Log'!$P$2:$P$500,MATCH(19,'Task Log'!$Q$2:$Q$500,0))="","",INDEX('Task Log'!$P$2:$P$500,MATCH(19,'Task Log'!$Q$2:$Q$500,0))),"")</f>
        <v/>
      </c>
    </row>
    <row r="24" customFormat="false" ht="15" hidden="false" customHeight="false" outlineLevel="0" collapsed="false">
      <c r="A24" s="5" t="str">
        <f aca="false">IFERROR(IF(MATCH(20,'Task Log'!$Q$2:$Q$500,0)&gt;0,20,""),"")</f>
        <v/>
      </c>
      <c r="B24" s="15" t="str">
        <f aca="false">IFERROR(IF(INDEX('Task Log'!$C$2:$C$500,MATCH(20,'Task Log'!$Q$2:$Q$500,0))="","",INDEX('Task Log'!$C$2:$C$500,MATCH(20,'Task Log'!$Q$2:$Q$500,0))),"")</f>
        <v/>
      </c>
      <c r="C24" s="15" t="str">
        <f aca="false">IFERROR(IF(INDEX('Task Log'!$D$2:$D$500,MATCH(20,'Task Log'!$Q$2:$Q$500,0))="","",INDEX('Task Log'!$D$2:$D$500,MATCH(20,'Task Log'!$Q$2:$Q$500,0))),"")</f>
        <v/>
      </c>
      <c r="D24" s="15" t="str">
        <f aca="false">IFERROR(IF(INDEX('Task Log'!$E$2:$E$500,MATCH(20,'Task Log'!$Q$2:$Q$500,0))="","",INDEX('Task Log'!$E$2:$E$500,MATCH(20,'Task Log'!$Q$2:$Q$500,0))),"")</f>
        <v/>
      </c>
      <c r="E24" s="5" t="str">
        <f aca="false">IFERROR(IF(INDEX('Task Log'!$G$2:$G$500,MATCH(20,'Task Log'!$Q$2:$Q$500,0))="","",INDEX('Task Log'!$G$2:$G$500,MATCH(20,'Task Log'!$Q$2:$Q$500,0))),"")</f>
        <v/>
      </c>
      <c r="F24" s="11" t="str">
        <f aca="false">IFERROR(IF(INDEX('Task Log'!$H$2:$H$500,MATCH(20,'Task Log'!$Q$2:$Q$500,0))="","",INDEX('Task Log'!$H$2:$H$500,MATCH(20,'Task Log'!$Q$2:$Q$500,0))),"")</f>
        <v/>
      </c>
      <c r="G24" s="11" t="str">
        <f aca="false">IFERROR(IF(INDEX('Task Log'!$I$2:$I$500,MATCH(20,'Task Log'!$Q$2:$Q$500,0))="","",INDEX('Task Log'!$I$2:$I$500,MATCH(20,'Task Log'!$Q$2:$Q$500,0))),"")</f>
        <v/>
      </c>
      <c r="H24" s="15" t="str">
        <f aca="false">IFERROR(IF(INDEX('Task Log'!$J$2:$J$500,MATCH(20,'Task Log'!$Q$2:$Q$500,0))="","",INDEX('Task Log'!$J$2:$J$500,MATCH(20,'Task Log'!$Q$2:$Q$500,0))),"")</f>
        <v/>
      </c>
      <c r="I24" s="5" t="str">
        <f aca="false">IFERROR(IF(INDEX('Task Log'!$O$2:$O$500,MATCH(20,'Task Log'!$Q$2:$Q$500,0))="","",INDEX('Task Log'!$O$2:$O$500,MATCH(20,'Task Log'!$Q$2:$Q$500,0))),"")</f>
        <v/>
      </c>
      <c r="J24" s="5" t="str">
        <f aca="false">IFERROR(IF(INDEX('Task Log'!$K$2:$K$500,MATCH(20,'Task Log'!$Q$2:$Q$500,0))="","",INDEX('Task Log'!$K$2:$K$500,MATCH(20,'Task Log'!$Q$2:$Q$500,0))),"")</f>
        <v/>
      </c>
      <c r="K24" s="5" t="str">
        <f aca="false">IFERROR(IF(INDEX('Task Log'!$N$2:$N$500,MATCH(20,'Task Log'!$Q$2:$Q$500,0))="","",INDEX('Task Log'!$N$2:$N$500,MATCH(20,'Task Log'!$Q$2:$Q$500,0))),"")</f>
        <v/>
      </c>
      <c r="L24" s="5" t="str">
        <f aca="false">IFERROR(IF(INDEX('Task Log'!$P$2:$P$500,MATCH(20,'Task Log'!$Q$2:$Q$500,0))="","",INDEX('Task Log'!$P$2:$P$500,MATCH(20,'Task Log'!$Q$2:$Q$500,0))),"")</f>
        <v/>
      </c>
    </row>
    <row r="25" customFormat="false" ht="15" hidden="false" customHeight="false" outlineLevel="0" collapsed="false">
      <c r="A25" s="5" t="str">
        <f aca="false">IFERROR(IF(MATCH(21,'Task Log'!$Q$2:$Q$500,0)&gt;0,21,""),"")</f>
        <v/>
      </c>
      <c r="B25" s="15" t="str">
        <f aca="false">IFERROR(IF(INDEX('Task Log'!$C$2:$C$500,MATCH(21,'Task Log'!$Q$2:$Q$500,0))="","",INDEX('Task Log'!$C$2:$C$500,MATCH(21,'Task Log'!$Q$2:$Q$500,0))),"")</f>
        <v/>
      </c>
      <c r="C25" s="15" t="str">
        <f aca="false">IFERROR(IF(INDEX('Task Log'!$D$2:$D$500,MATCH(21,'Task Log'!$Q$2:$Q$500,0))="","",INDEX('Task Log'!$D$2:$D$500,MATCH(21,'Task Log'!$Q$2:$Q$500,0))),"")</f>
        <v/>
      </c>
      <c r="D25" s="15" t="str">
        <f aca="false">IFERROR(IF(INDEX('Task Log'!$E$2:$E$500,MATCH(21,'Task Log'!$Q$2:$Q$500,0))="","",INDEX('Task Log'!$E$2:$E$500,MATCH(21,'Task Log'!$Q$2:$Q$500,0))),"")</f>
        <v/>
      </c>
      <c r="E25" s="5" t="str">
        <f aca="false">IFERROR(IF(INDEX('Task Log'!$G$2:$G$500,MATCH(21,'Task Log'!$Q$2:$Q$500,0))="","",INDEX('Task Log'!$G$2:$G$500,MATCH(21,'Task Log'!$Q$2:$Q$500,0))),"")</f>
        <v/>
      </c>
      <c r="F25" s="11" t="str">
        <f aca="false">IFERROR(IF(INDEX('Task Log'!$H$2:$H$500,MATCH(21,'Task Log'!$Q$2:$Q$500,0))="","",INDEX('Task Log'!$H$2:$H$500,MATCH(21,'Task Log'!$Q$2:$Q$500,0))),"")</f>
        <v/>
      </c>
      <c r="G25" s="11" t="str">
        <f aca="false">IFERROR(IF(INDEX('Task Log'!$I$2:$I$500,MATCH(21,'Task Log'!$Q$2:$Q$500,0))="","",INDEX('Task Log'!$I$2:$I$500,MATCH(21,'Task Log'!$Q$2:$Q$500,0))),"")</f>
        <v/>
      </c>
      <c r="H25" s="15" t="str">
        <f aca="false">IFERROR(IF(INDEX('Task Log'!$J$2:$J$500,MATCH(21,'Task Log'!$Q$2:$Q$500,0))="","",INDEX('Task Log'!$J$2:$J$500,MATCH(21,'Task Log'!$Q$2:$Q$500,0))),"")</f>
        <v/>
      </c>
      <c r="I25" s="5" t="str">
        <f aca="false">IFERROR(IF(INDEX('Task Log'!$O$2:$O$500,MATCH(21,'Task Log'!$Q$2:$Q$500,0))="","",INDEX('Task Log'!$O$2:$O$500,MATCH(21,'Task Log'!$Q$2:$Q$500,0))),"")</f>
        <v/>
      </c>
      <c r="J25" s="5" t="str">
        <f aca="false">IFERROR(IF(INDEX('Task Log'!$K$2:$K$500,MATCH(21,'Task Log'!$Q$2:$Q$500,0))="","",INDEX('Task Log'!$K$2:$K$500,MATCH(21,'Task Log'!$Q$2:$Q$500,0))),"")</f>
        <v/>
      </c>
      <c r="K25" s="5" t="str">
        <f aca="false">IFERROR(IF(INDEX('Task Log'!$N$2:$N$500,MATCH(21,'Task Log'!$Q$2:$Q$500,0))="","",INDEX('Task Log'!$N$2:$N$500,MATCH(21,'Task Log'!$Q$2:$Q$500,0))),"")</f>
        <v/>
      </c>
      <c r="L25" s="5" t="str">
        <f aca="false">IFERROR(IF(INDEX('Task Log'!$P$2:$P$500,MATCH(21,'Task Log'!$Q$2:$Q$500,0))="","",INDEX('Task Log'!$P$2:$P$500,MATCH(21,'Task Log'!$Q$2:$Q$500,0))),"")</f>
        <v/>
      </c>
    </row>
    <row r="26" customFormat="false" ht="15" hidden="false" customHeight="false" outlineLevel="0" collapsed="false">
      <c r="A26" s="5" t="str">
        <f aca="false">IFERROR(IF(MATCH(22,'Task Log'!$Q$2:$Q$500,0)&gt;0,22,""),"")</f>
        <v/>
      </c>
      <c r="B26" s="15" t="str">
        <f aca="false">IFERROR(IF(INDEX('Task Log'!$C$2:$C$500,MATCH(22,'Task Log'!$Q$2:$Q$500,0))="","",INDEX('Task Log'!$C$2:$C$500,MATCH(22,'Task Log'!$Q$2:$Q$500,0))),"")</f>
        <v/>
      </c>
      <c r="C26" s="15" t="str">
        <f aca="false">IFERROR(IF(INDEX('Task Log'!$D$2:$D$500,MATCH(22,'Task Log'!$Q$2:$Q$500,0))="","",INDEX('Task Log'!$D$2:$D$500,MATCH(22,'Task Log'!$Q$2:$Q$500,0))),"")</f>
        <v/>
      </c>
      <c r="D26" s="15" t="str">
        <f aca="false">IFERROR(IF(INDEX('Task Log'!$E$2:$E$500,MATCH(22,'Task Log'!$Q$2:$Q$500,0))="","",INDEX('Task Log'!$E$2:$E$500,MATCH(22,'Task Log'!$Q$2:$Q$500,0))),"")</f>
        <v/>
      </c>
      <c r="E26" s="5" t="str">
        <f aca="false">IFERROR(IF(INDEX('Task Log'!$G$2:$G$500,MATCH(22,'Task Log'!$Q$2:$Q$500,0))="","",INDEX('Task Log'!$G$2:$G$500,MATCH(22,'Task Log'!$Q$2:$Q$500,0))),"")</f>
        <v/>
      </c>
      <c r="F26" s="11" t="str">
        <f aca="false">IFERROR(IF(INDEX('Task Log'!$H$2:$H$500,MATCH(22,'Task Log'!$Q$2:$Q$500,0))="","",INDEX('Task Log'!$H$2:$H$500,MATCH(22,'Task Log'!$Q$2:$Q$500,0))),"")</f>
        <v/>
      </c>
      <c r="G26" s="11" t="str">
        <f aca="false">IFERROR(IF(INDEX('Task Log'!$I$2:$I$500,MATCH(22,'Task Log'!$Q$2:$Q$500,0))="","",INDEX('Task Log'!$I$2:$I$500,MATCH(22,'Task Log'!$Q$2:$Q$500,0))),"")</f>
        <v/>
      </c>
      <c r="H26" s="15" t="str">
        <f aca="false">IFERROR(IF(INDEX('Task Log'!$J$2:$J$500,MATCH(22,'Task Log'!$Q$2:$Q$500,0))="","",INDEX('Task Log'!$J$2:$J$500,MATCH(22,'Task Log'!$Q$2:$Q$500,0))),"")</f>
        <v/>
      </c>
      <c r="I26" s="5" t="str">
        <f aca="false">IFERROR(IF(INDEX('Task Log'!$O$2:$O$500,MATCH(22,'Task Log'!$Q$2:$Q$500,0))="","",INDEX('Task Log'!$O$2:$O$500,MATCH(22,'Task Log'!$Q$2:$Q$500,0))),"")</f>
        <v/>
      </c>
      <c r="J26" s="5" t="str">
        <f aca="false">IFERROR(IF(INDEX('Task Log'!$K$2:$K$500,MATCH(22,'Task Log'!$Q$2:$Q$500,0))="","",INDEX('Task Log'!$K$2:$K$500,MATCH(22,'Task Log'!$Q$2:$Q$500,0))),"")</f>
        <v/>
      </c>
      <c r="K26" s="5" t="str">
        <f aca="false">IFERROR(IF(INDEX('Task Log'!$N$2:$N$500,MATCH(22,'Task Log'!$Q$2:$Q$500,0))="","",INDEX('Task Log'!$N$2:$N$500,MATCH(22,'Task Log'!$Q$2:$Q$500,0))),"")</f>
        <v/>
      </c>
      <c r="L26" s="5" t="str">
        <f aca="false">IFERROR(IF(INDEX('Task Log'!$P$2:$P$500,MATCH(22,'Task Log'!$Q$2:$Q$500,0))="","",INDEX('Task Log'!$P$2:$P$500,MATCH(22,'Task Log'!$Q$2:$Q$500,0))),"")</f>
        <v/>
      </c>
    </row>
    <row r="27" customFormat="false" ht="15" hidden="false" customHeight="false" outlineLevel="0" collapsed="false">
      <c r="A27" s="5" t="str">
        <f aca="false">IFERROR(IF(MATCH(23,'Task Log'!$Q$2:$Q$500,0)&gt;0,23,""),"")</f>
        <v/>
      </c>
      <c r="B27" s="15" t="str">
        <f aca="false">IFERROR(IF(INDEX('Task Log'!$C$2:$C$500,MATCH(23,'Task Log'!$Q$2:$Q$500,0))="","",INDEX('Task Log'!$C$2:$C$500,MATCH(23,'Task Log'!$Q$2:$Q$500,0))),"")</f>
        <v/>
      </c>
      <c r="C27" s="15" t="str">
        <f aca="false">IFERROR(IF(INDEX('Task Log'!$D$2:$D$500,MATCH(23,'Task Log'!$Q$2:$Q$500,0))="","",INDEX('Task Log'!$D$2:$D$500,MATCH(23,'Task Log'!$Q$2:$Q$500,0))),"")</f>
        <v/>
      </c>
      <c r="D27" s="15" t="str">
        <f aca="false">IFERROR(IF(INDEX('Task Log'!$E$2:$E$500,MATCH(23,'Task Log'!$Q$2:$Q$500,0))="","",INDEX('Task Log'!$E$2:$E$500,MATCH(23,'Task Log'!$Q$2:$Q$500,0))),"")</f>
        <v/>
      </c>
      <c r="E27" s="5" t="str">
        <f aca="false">IFERROR(IF(INDEX('Task Log'!$G$2:$G$500,MATCH(23,'Task Log'!$Q$2:$Q$500,0))="","",INDEX('Task Log'!$G$2:$G$500,MATCH(23,'Task Log'!$Q$2:$Q$500,0))),"")</f>
        <v/>
      </c>
      <c r="F27" s="11" t="str">
        <f aca="false">IFERROR(IF(INDEX('Task Log'!$H$2:$H$500,MATCH(23,'Task Log'!$Q$2:$Q$500,0))="","",INDEX('Task Log'!$H$2:$H$500,MATCH(23,'Task Log'!$Q$2:$Q$500,0))),"")</f>
        <v/>
      </c>
      <c r="G27" s="11" t="str">
        <f aca="false">IFERROR(IF(INDEX('Task Log'!$I$2:$I$500,MATCH(23,'Task Log'!$Q$2:$Q$500,0))="","",INDEX('Task Log'!$I$2:$I$500,MATCH(23,'Task Log'!$Q$2:$Q$500,0))),"")</f>
        <v/>
      </c>
      <c r="H27" s="15" t="str">
        <f aca="false">IFERROR(IF(INDEX('Task Log'!$J$2:$J$500,MATCH(23,'Task Log'!$Q$2:$Q$500,0))="","",INDEX('Task Log'!$J$2:$J$500,MATCH(23,'Task Log'!$Q$2:$Q$500,0))),"")</f>
        <v/>
      </c>
      <c r="I27" s="5" t="str">
        <f aca="false">IFERROR(IF(INDEX('Task Log'!$O$2:$O$500,MATCH(23,'Task Log'!$Q$2:$Q$500,0))="","",INDEX('Task Log'!$O$2:$O$500,MATCH(23,'Task Log'!$Q$2:$Q$500,0))),"")</f>
        <v/>
      </c>
      <c r="J27" s="5" t="str">
        <f aca="false">IFERROR(IF(INDEX('Task Log'!$K$2:$K$500,MATCH(23,'Task Log'!$Q$2:$Q$500,0))="","",INDEX('Task Log'!$K$2:$K$500,MATCH(23,'Task Log'!$Q$2:$Q$500,0))),"")</f>
        <v/>
      </c>
      <c r="K27" s="5" t="str">
        <f aca="false">IFERROR(IF(INDEX('Task Log'!$N$2:$N$500,MATCH(23,'Task Log'!$Q$2:$Q$500,0))="","",INDEX('Task Log'!$N$2:$N$500,MATCH(23,'Task Log'!$Q$2:$Q$500,0))),"")</f>
        <v/>
      </c>
      <c r="L27" s="5" t="str">
        <f aca="false">IFERROR(IF(INDEX('Task Log'!$P$2:$P$500,MATCH(23,'Task Log'!$Q$2:$Q$500,0))="","",INDEX('Task Log'!$P$2:$P$500,MATCH(23,'Task Log'!$Q$2:$Q$500,0))),"")</f>
        <v/>
      </c>
    </row>
    <row r="28" customFormat="false" ht="15" hidden="false" customHeight="false" outlineLevel="0" collapsed="false">
      <c r="A28" s="5" t="str">
        <f aca="false">IFERROR(IF(MATCH(24,'Task Log'!$Q$2:$Q$500,0)&gt;0,24,""),"")</f>
        <v/>
      </c>
      <c r="B28" s="15" t="str">
        <f aca="false">IFERROR(IF(INDEX('Task Log'!$C$2:$C$500,MATCH(24,'Task Log'!$Q$2:$Q$500,0))="","",INDEX('Task Log'!$C$2:$C$500,MATCH(24,'Task Log'!$Q$2:$Q$500,0))),"")</f>
        <v/>
      </c>
      <c r="C28" s="15" t="str">
        <f aca="false">IFERROR(IF(INDEX('Task Log'!$D$2:$D$500,MATCH(24,'Task Log'!$Q$2:$Q$500,0))="","",INDEX('Task Log'!$D$2:$D$500,MATCH(24,'Task Log'!$Q$2:$Q$500,0))),"")</f>
        <v/>
      </c>
      <c r="D28" s="15" t="str">
        <f aca="false">IFERROR(IF(INDEX('Task Log'!$E$2:$E$500,MATCH(24,'Task Log'!$Q$2:$Q$500,0))="","",INDEX('Task Log'!$E$2:$E$500,MATCH(24,'Task Log'!$Q$2:$Q$500,0))),"")</f>
        <v/>
      </c>
      <c r="E28" s="5" t="str">
        <f aca="false">IFERROR(IF(INDEX('Task Log'!$G$2:$G$500,MATCH(24,'Task Log'!$Q$2:$Q$500,0))="","",INDEX('Task Log'!$G$2:$G$500,MATCH(24,'Task Log'!$Q$2:$Q$500,0))),"")</f>
        <v/>
      </c>
      <c r="F28" s="11" t="str">
        <f aca="false">IFERROR(IF(INDEX('Task Log'!$H$2:$H$500,MATCH(24,'Task Log'!$Q$2:$Q$500,0))="","",INDEX('Task Log'!$H$2:$H$500,MATCH(24,'Task Log'!$Q$2:$Q$500,0))),"")</f>
        <v/>
      </c>
      <c r="G28" s="11" t="str">
        <f aca="false">IFERROR(IF(INDEX('Task Log'!$I$2:$I$500,MATCH(24,'Task Log'!$Q$2:$Q$500,0))="","",INDEX('Task Log'!$I$2:$I$500,MATCH(24,'Task Log'!$Q$2:$Q$500,0))),"")</f>
        <v/>
      </c>
      <c r="H28" s="15" t="str">
        <f aca="false">IFERROR(IF(INDEX('Task Log'!$J$2:$J$500,MATCH(24,'Task Log'!$Q$2:$Q$500,0))="","",INDEX('Task Log'!$J$2:$J$500,MATCH(24,'Task Log'!$Q$2:$Q$500,0))),"")</f>
        <v/>
      </c>
      <c r="I28" s="5" t="str">
        <f aca="false">IFERROR(IF(INDEX('Task Log'!$O$2:$O$500,MATCH(24,'Task Log'!$Q$2:$Q$500,0))="","",INDEX('Task Log'!$O$2:$O$500,MATCH(24,'Task Log'!$Q$2:$Q$500,0))),"")</f>
        <v/>
      </c>
      <c r="J28" s="5" t="str">
        <f aca="false">IFERROR(IF(INDEX('Task Log'!$K$2:$K$500,MATCH(24,'Task Log'!$Q$2:$Q$500,0))="","",INDEX('Task Log'!$K$2:$K$500,MATCH(24,'Task Log'!$Q$2:$Q$500,0))),"")</f>
        <v/>
      </c>
      <c r="K28" s="5" t="str">
        <f aca="false">IFERROR(IF(INDEX('Task Log'!$N$2:$N$500,MATCH(24,'Task Log'!$Q$2:$Q$500,0))="","",INDEX('Task Log'!$N$2:$N$500,MATCH(24,'Task Log'!$Q$2:$Q$500,0))),"")</f>
        <v/>
      </c>
      <c r="L28" s="5" t="str">
        <f aca="false">IFERROR(IF(INDEX('Task Log'!$P$2:$P$500,MATCH(24,'Task Log'!$Q$2:$Q$500,0))="","",INDEX('Task Log'!$P$2:$P$500,MATCH(24,'Task Log'!$Q$2:$Q$500,0))),"")</f>
        <v/>
      </c>
    </row>
    <row r="29" customFormat="false" ht="15" hidden="false" customHeight="false" outlineLevel="0" collapsed="false">
      <c r="A29" s="5" t="str">
        <f aca="false">IFERROR(IF(MATCH(25,'Task Log'!$Q$2:$Q$500,0)&gt;0,25,""),"")</f>
        <v/>
      </c>
      <c r="B29" s="15" t="str">
        <f aca="false">IFERROR(IF(INDEX('Task Log'!$C$2:$C$500,MATCH(25,'Task Log'!$Q$2:$Q$500,0))="","",INDEX('Task Log'!$C$2:$C$500,MATCH(25,'Task Log'!$Q$2:$Q$500,0))),"")</f>
        <v/>
      </c>
      <c r="C29" s="15" t="str">
        <f aca="false">IFERROR(IF(INDEX('Task Log'!$D$2:$D$500,MATCH(25,'Task Log'!$Q$2:$Q$500,0))="","",INDEX('Task Log'!$D$2:$D$500,MATCH(25,'Task Log'!$Q$2:$Q$500,0))),"")</f>
        <v/>
      </c>
      <c r="D29" s="15" t="str">
        <f aca="false">IFERROR(IF(INDEX('Task Log'!$E$2:$E$500,MATCH(25,'Task Log'!$Q$2:$Q$500,0))="","",INDEX('Task Log'!$E$2:$E$500,MATCH(25,'Task Log'!$Q$2:$Q$500,0))),"")</f>
        <v/>
      </c>
      <c r="E29" s="5" t="str">
        <f aca="false">IFERROR(IF(INDEX('Task Log'!$G$2:$G$500,MATCH(25,'Task Log'!$Q$2:$Q$500,0))="","",INDEX('Task Log'!$G$2:$G$500,MATCH(25,'Task Log'!$Q$2:$Q$500,0))),"")</f>
        <v/>
      </c>
      <c r="F29" s="11" t="str">
        <f aca="false">IFERROR(IF(INDEX('Task Log'!$H$2:$H$500,MATCH(25,'Task Log'!$Q$2:$Q$500,0))="","",INDEX('Task Log'!$H$2:$H$500,MATCH(25,'Task Log'!$Q$2:$Q$500,0))),"")</f>
        <v/>
      </c>
      <c r="G29" s="11" t="str">
        <f aca="false">IFERROR(IF(INDEX('Task Log'!$I$2:$I$500,MATCH(25,'Task Log'!$Q$2:$Q$500,0))="","",INDEX('Task Log'!$I$2:$I$500,MATCH(25,'Task Log'!$Q$2:$Q$500,0))),"")</f>
        <v/>
      </c>
      <c r="H29" s="15" t="str">
        <f aca="false">IFERROR(IF(INDEX('Task Log'!$J$2:$J$500,MATCH(25,'Task Log'!$Q$2:$Q$500,0))="","",INDEX('Task Log'!$J$2:$J$500,MATCH(25,'Task Log'!$Q$2:$Q$500,0))),"")</f>
        <v/>
      </c>
      <c r="I29" s="5" t="str">
        <f aca="false">IFERROR(IF(INDEX('Task Log'!$O$2:$O$500,MATCH(25,'Task Log'!$Q$2:$Q$500,0))="","",INDEX('Task Log'!$O$2:$O$500,MATCH(25,'Task Log'!$Q$2:$Q$500,0))),"")</f>
        <v/>
      </c>
      <c r="J29" s="5" t="str">
        <f aca="false">IFERROR(IF(INDEX('Task Log'!$K$2:$K$500,MATCH(25,'Task Log'!$Q$2:$Q$500,0))="","",INDEX('Task Log'!$K$2:$K$500,MATCH(25,'Task Log'!$Q$2:$Q$500,0))),"")</f>
        <v/>
      </c>
      <c r="K29" s="5" t="str">
        <f aca="false">IFERROR(IF(INDEX('Task Log'!$N$2:$N$500,MATCH(25,'Task Log'!$Q$2:$Q$500,0))="","",INDEX('Task Log'!$N$2:$N$500,MATCH(25,'Task Log'!$Q$2:$Q$500,0))),"")</f>
        <v/>
      </c>
      <c r="L29" s="5" t="str">
        <f aca="false">IFERROR(IF(INDEX('Task Log'!$P$2:$P$500,MATCH(25,'Task Log'!$Q$2:$Q$500,0))="","",INDEX('Task Log'!$P$2:$P$500,MATCH(25,'Task Log'!$Q$2:$Q$500,0))),"")</f>
        <v/>
      </c>
    </row>
    <row r="30" customFormat="false" ht="15" hidden="false" customHeight="false" outlineLevel="0" collapsed="false">
      <c r="A30" s="5" t="str">
        <f aca="false">IFERROR(IF(MATCH(26,'Task Log'!$Q$2:$Q$500,0)&gt;0,26,""),"")</f>
        <v/>
      </c>
      <c r="B30" s="15" t="str">
        <f aca="false">IFERROR(IF(INDEX('Task Log'!$C$2:$C$500,MATCH(26,'Task Log'!$Q$2:$Q$500,0))="","",INDEX('Task Log'!$C$2:$C$500,MATCH(26,'Task Log'!$Q$2:$Q$500,0))),"")</f>
        <v/>
      </c>
      <c r="C30" s="15" t="str">
        <f aca="false">IFERROR(IF(INDEX('Task Log'!$D$2:$D$500,MATCH(26,'Task Log'!$Q$2:$Q$500,0))="","",INDEX('Task Log'!$D$2:$D$500,MATCH(26,'Task Log'!$Q$2:$Q$500,0))),"")</f>
        <v/>
      </c>
      <c r="D30" s="15" t="str">
        <f aca="false">IFERROR(IF(INDEX('Task Log'!$E$2:$E$500,MATCH(26,'Task Log'!$Q$2:$Q$500,0))="","",INDEX('Task Log'!$E$2:$E$500,MATCH(26,'Task Log'!$Q$2:$Q$500,0))),"")</f>
        <v/>
      </c>
      <c r="E30" s="5" t="str">
        <f aca="false">IFERROR(IF(INDEX('Task Log'!$G$2:$G$500,MATCH(26,'Task Log'!$Q$2:$Q$500,0))="","",INDEX('Task Log'!$G$2:$G$500,MATCH(26,'Task Log'!$Q$2:$Q$500,0))),"")</f>
        <v/>
      </c>
      <c r="F30" s="11" t="str">
        <f aca="false">IFERROR(IF(INDEX('Task Log'!$H$2:$H$500,MATCH(26,'Task Log'!$Q$2:$Q$500,0))="","",INDEX('Task Log'!$H$2:$H$500,MATCH(26,'Task Log'!$Q$2:$Q$500,0))),"")</f>
        <v/>
      </c>
      <c r="G30" s="11" t="str">
        <f aca="false">IFERROR(IF(INDEX('Task Log'!$I$2:$I$500,MATCH(26,'Task Log'!$Q$2:$Q$500,0))="","",INDEX('Task Log'!$I$2:$I$500,MATCH(26,'Task Log'!$Q$2:$Q$500,0))),"")</f>
        <v/>
      </c>
      <c r="H30" s="15" t="str">
        <f aca="false">IFERROR(IF(INDEX('Task Log'!$J$2:$J$500,MATCH(26,'Task Log'!$Q$2:$Q$500,0))="","",INDEX('Task Log'!$J$2:$J$500,MATCH(26,'Task Log'!$Q$2:$Q$500,0))),"")</f>
        <v/>
      </c>
      <c r="I30" s="5" t="str">
        <f aca="false">IFERROR(IF(INDEX('Task Log'!$O$2:$O$500,MATCH(26,'Task Log'!$Q$2:$Q$500,0))="","",INDEX('Task Log'!$O$2:$O$500,MATCH(26,'Task Log'!$Q$2:$Q$500,0))),"")</f>
        <v/>
      </c>
      <c r="J30" s="5" t="str">
        <f aca="false">IFERROR(IF(INDEX('Task Log'!$K$2:$K$500,MATCH(26,'Task Log'!$Q$2:$Q$500,0))="","",INDEX('Task Log'!$K$2:$K$500,MATCH(26,'Task Log'!$Q$2:$Q$500,0))),"")</f>
        <v/>
      </c>
      <c r="K30" s="5" t="str">
        <f aca="false">IFERROR(IF(INDEX('Task Log'!$N$2:$N$500,MATCH(26,'Task Log'!$Q$2:$Q$500,0))="","",INDEX('Task Log'!$N$2:$N$500,MATCH(26,'Task Log'!$Q$2:$Q$500,0))),"")</f>
        <v/>
      </c>
      <c r="L30" s="5" t="str">
        <f aca="false">IFERROR(IF(INDEX('Task Log'!$P$2:$P$500,MATCH(26,'Task Log'!$Q$2:$Q$500,0))="","",INDEX('Task Log'!$P$2:$P$500,MATCH(26,'Task Log'!$Q$2:$Q$500,0))),"")</f>
        <v/>
      </c>
    </row>
    <row r="31" customFormat="false" ht="15" hidden="false" customHeight="false" outlineLevel="0" collapsed="false">
      <c r="A31" s="5" t="str">
        <f aca="false">IFERROR(IF(MATCH(27,'Task Log'!$Q$2:$Q$500,0)&gt;0,27,""),"")</f>
        <v/>
      </c>
      <c r="B31" s="15" t="str">
        <f aca="false">IFERROR(IF(INDEX('Task Log'!$C$2:$C$500,MATCH(27,'Task Log'!$Q$2:$Q$500,0))="","",INDEX('Task Log'!$C$2:$C$500,MATCH(27,'Task Log'!$Q$2:$Q$500,0))),"")</f>
        <v/>
      </c>
      <c r="C31" s="15" t="str">
        <f aca="false">IFERROR(IF(INDEX('Task Log'!$D$2:$D$500,MATCH(27,'Task Log'!$Q$2:$Q$500,0))="","",INDEX('Task Log'!$D$2:$D$500,MATCH(27,'Task Log'!$Q$2:$Q$500,0))),"")</f>
        <v/>
      </c>
      <c r="D31" s="15" t="str">
        <f aca="false">IFERROR(IF(INDEX('Task Log'!$E$2:$E$500,MATCH(27,'Task Log'!$Q$2:$Q$500,0))="","",INDEX('Task Log'!$E$2:$E$500,MATCH(27,'Task Log'!$Q$2:$Q$500,0))),"")</f>
        <v/>
      </c>
      <c r="E31" s="5" t="str">
        <f aca="false">IFERROR(IF(INDEX('Task Log'!$G$2:$G$500,MATCH(27,'Task Log'!$Q$2:$Q$500,0))="","",INDEX('Task Log'!$G$2:$G$500,MATCH(27,'Task Log'!$Q$2:$Q$500,0))),"")</f>
        <v/>
      </c>
      <c r="F31" s="11" t="str">
        <f aca="false">IFERROR(IF(INDEX('Task Log'!$H$2:$H$500,MATCH(27,'Task Log'!$Q$2:$Q$500,0))="","",INDEX('Task Log'!$H$2:$H$500,MATCH(27,'Task Log'!$Q$2:$Q$500,0))),"")</f>
        <v/>
      </c>
      <c r="G31" s="11" t="str">
        <f aca="false">IFERROR(IF(INDEX('Task Log'!$I$2:$I$500,MATCH(27,'Task Log'!$Q$2:$Q$500,0))="","",INDEX('Task Log'!$I$2:$I$500,MATCH(27,'Task Log'!$Q$2:$Q$500,0))),"")</f>
        <v/>
      </c>
      <c r="H31" s="15" t="str">
        <f aca="false">IFERROR(IF(INDEX('Task Log'!$J$2:$J$500,MATCH(27,'Task Log'!$Q$2:$Q$500,0))="","",INDEX('Task Log'!$J$2:$J$500,MATCH(27,'Task Log'!$Q$2:$Q$500,0))),"")</f>
        <v/>
      </c>
      <c r="I31" s="5" t="str">
        <f aca="false">IFERROR(IF(INDEX('Task Log'!$O$2:$O$500,MATCH(27,'Task Log'!$Q$2:$Q$500,0))="","",INDEX('Task Log'!$O$2:$O$500,MATCH(27,'Task Log'!$Q$2:$Q$500,0))),"")</f>
        <v/>
      </c>
      <c r="J31" s="5" t="str">
        <f aca="false">IFERROR(IF(INDEX('Task Log'!$K$2:$K$500,MATCH(27,'Task Log'!$Q$2:$Q$500,0))="","",INDEX('Task Log'!$K$2:$K$500,MATCH(27,'Task Log'!$Q$2:$Q$500,0))),"")</f>
        <v/>
      </c>
      <c r="K31" s="5" t="str">
        <f aca="false">IFERROR(IF(INDEX('Task Log'!$N$2:$N$500,MATCH(27,'Task Log'!$Q$2:$Q$500,0))="","",INDEX('Task Log'!$N$2:$N$500,MATCH(27,'Task Log'!$Q$2:$Q$500,0))),"")</f>
        <v/>
      </c>
      <c r="L31" s="5" t="str">
        <f aca="false">IFERROR(IF(INDEX('Task Log'!$P$2:$P$500,MATCH(27,'Task Log'!$Q$2:$Q$500,0))="","",INDEX('Task Log'!$P$2:$P$500,MATCH(27,'Task Log'!$Q$2:$Q$500,0))),"")</f>
        <v/>
      </c>
    </row>
    <row r="32" customFormat="false" ht="15" hidden="false" customHeight="false" outlineLevel="0" collapsed="false">
      <c r="A32" s="5" t="str">
        <f aca="false">IFERROR(IF(MATCH(28,'Task Log'!$Q$2:$Q$500,0)&gt;0,28,""),"")</f>
        <v/>
      </c>
      <c r="B32" s="15" t="str">
        <f aca="false">IFERROR(IF(INDEX('Task Log'!$C$2:$C$500,MATCH(28,'Task Log'!$Q$2:$Q$500,0))="","",INDEX('Task Log'!$C$2:$C$500,MATCH(28,'Task Log'!$Q$2:$Q$500,0))),"")</f>
        <v/>
      </c>
      <c r="C32" s="15" t="str">
        <f aca="false">IFERROR(IF(INDEX('Task Log'!$D$2:$D$500,MATCH(28,'Task Log'!$Q$2:$Q$500,0))="","",INDEX('Task Log'!$D$2:$D$500,MATCH(28,'Task Log'!$Q$2:$Q$500,0))),"")</f>
        <v/>
      </c>
      <c r="D32" s="15" t="str">
        <f aca="false">IFERROR(IF(INDEX('Task Log'!$E$2:$E$500,MATCH(28,'Task Log'!$Q$2:$Q$500,0))="","",INDEX('Task Log'!$E$2:$E$500,MATCH(28,'Task Log'!$Q$2:$Q$500,0))),"")</f>
        <v/>
      </c>
      <c r="E32" s="5" t="str">
        <f aca="false">IFERROR(IF(INDEX('Task Log'!$G$2:$G$500,MATCH(28,'Task Log'!$Q$2:$Q$500,0))="","",INDEX('Task Log'!$G$2:$G$500,MATCH(28,'Task Log'!$Q$2:$Q$500,0))),"")</f>
        <v/>
      </c>
      <c r="F32" s="11" t="str">
        <f aca="false">IFERROR(IF(INDEX('Task Log'!$H$2:$H$500,MATCH(28,'Task Log'!$Q$2:$Q$500,0))="","",INDEX('Task Log'!$H$2:$H$500,MATCH(28,'Task Log'!$Q$2:$Q$500,0))),"")</f>
        <v/>
      </c>
      <c r="G32" s="11" t="str">
        <f aca="false">IFERROR(IF(INDEX('Task Log'!$I$2:$I$500,MATCH(28,'Task Log'!$Q$2:$Q$500,0))="","",INDEX('Task Log'!$I$2:$I$500,MATCH(28,'Task Log'!$Q$2:$Q$500,0))),"")</f>
        <v/>
      </c>
      <c r="H32" s="15" t="str">
        <f aca="false">IFERROR(IF(INDEX('Task Log'!$J$2:$J$500,MATCH(28,'Task Log'!$Q$2:$Q$500,0))="","",INDEX('Task Log'!$J$2:$J$500,MATCH(28,'Task Log'!$Q$2:$Q$500,0))),"")</f>
        <v/>
      </c>
      <c r="I32" s="5" t="str">
        <f aca="false">IFERROR(IF(INDEX('Task Log'!$O$2:$O$500,MATCH(28,'Task Log'!$Q$2:$Q$500,0))="","",INDEX('Task Log'!$O$2:$O$500,MATCH(28,'Task Log'!$Q$2:$Q$500,0))),"")</f>
        <v/>
      </c>
      <c r="J32" s="5" t="str">
        <f aca="false">IFERROR(IF(INDEX('Task Log'!$K$2:$K$500,MATCH(28,'Task Log'!$Q$2:$Q$500,0))="","",INDEX('Task Log'!$K$2:$K$500,MATCH(28,'Task Log'!$Q$2:$Q$500,0))),"")</f>
        <v/>
      </c>
      <c r="K32" s="5" t="str">
        <f aca="false">IFERROR(IF(INDEX('Task Log'!$N$2:$N$500,MATCH(28,'Task Log'!$Q$2:$Q$500,0))="","",INDEX('Task Log'!$N$2:$N$500,MATCH(28,'Task Log'!$Q$2:$Q$500,0))),"")</f>
        <v/>
      </c>
      <c r="L32" s="5" t="str">
        <f aca="false">IFERROR(IF(INDEX('Task Log'!$P$2:$P$500,MATCH(28,'Task Log'!$Q$2:$Q$500,0))="","",INDEX('Task Log'!$P$2:$P$500,MATCH(28,'Task Log'!$Q$2:$Q$500,0))),"")</f>
        <v/>
      </c>
    </row>
    <row r="33" customFormat="false" ht="15" hidden="false" customHeight="false" outlineLevel="0" collapsed="false">
      <c r="A33" s="5" t="str">
        <f aca="false">IFERROR(IF(MATCH(29,'Task Log'!$Q$2:$Q$500,0)&gt;0,29,""),"")</f>
        <v/>
      </c>
      <c r="B33" s="15" t="str">
        <f aca="false">IFERROR(IF(INDEX('Task Log'!$C$2:$C$500,MATCH(29,'Task Log'!$Q$2:$Q$500,0))="","",INDEX('Task Log'!$C$2:$C$500,MATCH(29,'Task Log'!$Q$2:$Q$500,0))),"")</f>
        <v/>
      </c>
      <c r="C33" s="15" t="str">
        <f aca="false">IFERROR(IF(INDEX('Task Log'!$D$2:$D$500,MATCH(29,'Task Log'!$Q$2:$Q$500,0))="","",INDEX('Task Log'!$D$2:$D$500,MATCH(29,'Task Log'!$Q$2:$Q$500,0))),"")</f>
        <v/>
      </c>
      <c r="D33" s="15" t="str">
        <f aca="false">IFERROR(IF(INDEX('Task Log'!$E$2:$E$500,MATCH(29,'Task Log'!$Q$2:$Q$500,0))="","",INDEX('Task Log'!$E$2:$E$500,MATCH(29,'Task Log'!$Q$2:$Q$500,0))),"")</f>
        <v/>
      </c>
      <c r="E33" s="5" t="str">
        <f aca="false">IFERROR(IF(INDEX('Task Log'!$G$2:$G$500,MATCH(29,'Task Log'!$Q$2:$Q$500,0))="","",INDEX('Task Log'!$G$2:$G$500,MATCH(29,'Task Log'!$Q$2:$Q$500,0))),"")</f>
        <v/>
      </c>
      <c r="F33" s="11" t="str">
        <f aca="false">IFERROR(IF(INDEX('Task Log'!$H$2:$H$500,MATCH(29,'Task Log'!$Q$2:$Q$500,0))="","",INDEX('Task Log'!$H$2:$H$500,MATCH(29,'Task Log'!$Q$2:$Q$500,0))),"")</f>
        <v/>
      </c>
      <c r="G33" s="11" t="str">
        <f aca="false">IFERROR(IF(INDEX('Task Log'!$I$2:$I$500,MATCH(29,'Task Log'!$Q$2:$Q$500,0))="","",INDEX('Task Log'!$I$2:$I$500,MATCH(29,'Task Log'!$Q$2:$Q$500,0))),"")</f>
        <v/>
      </c>
      <c r="H33" s="15" t="str">
        <f aca="false">IFERROR(IF(INDEX('Task Log'!$J$2:$J$500,MATCH(29,'Task Log'!$Q$2:$Q$500,0))="","",INDEX('Task Log'!$J$2:$J$500,MATCH(29,'Task Log'!$Q$2:$Q$500,0))),"")</f>
        <v/>
      </c>
      <c r="I33" s="5" t="str">
        <f aca="false">IFERROR(IF(INDEX('Task Log'!$O$2:$O$500,MATCH(29,'Task Log'!$Q$2:$Q$500,0))="","",INDEX('Task Log'!$O$2:$O$500,MATCH(29,'Task Log'!$Q$2:$Q$500,0))),"")</f>
        <v/>
      </c>
      <c r="J33" s="5" t="str">
        <f aca="false">IFERROR(IF(INDEX('Task Log'!$K$2:$K$500,MATCH(29,'Task Log'!$Q$2:$Q$500,0))="","",INDEX('Task Log'!$K$2:$K$500,MATCH(29,'Task Log'!$Q$2:$Q$500,0))),"")</f>
        <v/>
      </c>
      <c r="K33" s="5" t="str">
        <f aca="false">IFERROR(IF(INDEX('Task Log'!$N$2:$N$500,MATCH(29,'Task Log'!$Q$2:$Q$500,0))="","",INDEX('Task Log'!$N$2:$N$500,MATCH(29,'Task Log'!$Q$2:$Q$500,0))),"")</f>
        <v/>
      </c>
      <c r="L33" s="5" t="str">
        <f aca="false">IFERROR(IF(INDEX('Task Log'!$P$2:$P$500,MATCH(29,'Task Log'!$Q$2:$Q$500,0))="","",INDEX('Task Log'!$P$2:$P$500,MATCH(29,'Task Log'!$Q$2:$Q$500,0))),"")</f>
        <v/>
      </c>
    </row>
    <row r="34" customFormat="false" ht="15" hidden="false" customHeight="false" outlineLevel="0" collapsed="false">
      <c r="A34" s="5" t="str">
        <f aca="false">IFERROR(IF(MATCH(30,'Task Log'!$Q$2:$Q$500,0)&gt;0,30,""),"")</f>
        <v/>
      </c>
      <c r="B34" s="15" t="str">
        <f aca="false">IFERROR(IF(INDEX('Task Log'!$C$2:$C$500,MATCH(30,'Task Log'!$Q$2:$Q$500,0))="","",INDEX('Task Log'!$C$2:$C$500,MATCH(30,'Task Log'!$Q$2:$Q$500,0))),"")</f>
        <v/>
      </c>
      <c r="C34" s="15" t="str">
        <f aca="false">IFERROR(IF(INDEX('Task Log'!$D$2:$D$500,MATCH(30,'Task Log'!$Q$2:$Q$500,0))="","",INDEX('Task Log'!$D$2:$D$500,MATCH(30,'Task Log'!$Q$2:$Q$500,0))),"")</f>
        <v/>
      </c>
      <c r="D34" s="15" t="str">
        <f aca="false">IFERROR(IF(INDEX('Task Log'!$E$2:$E$500,MATCH(30,'Task Log'!$Q$2:$Q$500,0))="","",INDEX('Task Log'!$E$2:$E$500,MATCH(30,'Task Log'!$Q$2:$Q$500,0))),"")</f>
        <v/>
      </c>
      <c r="E34" s="5" t="str">
        <f aca="false">IFERROR(IF(INDEX('Task Log'!$G$2:$G$500,MATCH(30,'Task Log'!$Q$2:$Q$500,0))="","",INDEX('Task Log'!$G$2:$G$500,MATCH(30,'Task Log'!$Q$2:$Q$500,0))),"")</f>
        <v/>
      </c>
      <c r="F34" s="11" t="str">
        <f aca="false">IFERROR(IF(INDEX('Task Log'!$H$2:$H$500,MATCH(30,'Task Log'!$Q$2:$Q$500,0))="","",INDEX('Task Log'!$H$2:$H$500,MATCH(30,'Task Log'!$Q$2:$Q$500,0))),"")</f>
        <v/>
      </c>
      <c r="G34" s="11" t="str">
        <f aca="false">IFERROR(IF(INDEX('Task Log'!$I$2:$I$500,MATCH(30,'Task Log'!$Q$2:$Q$500,0))="","",INDEX('Task Log'!$I$2:$I$500,MATCH(30,'Task Log'!$Q$2:$Q$500,0))),"")</f>
        <v/>
      </c>
      <c r="H34" s="15" t="str">
        <f aca="false">IFERROR(IF(INDEX('Task Log'!$J$2:$J$500,MATCH(30,'Task Log'!$Q$2:$Q$500,0))="","",INDEX('Task Log'!$J$2:$J$500,MATCH(30,'Task Log'!$Q$2:$Q$500,0))),"")</f>
        <v/>
      </c>
      <c r="I34" s="5" t="str">
        <f aca="false">IFERROR(IF(INDEX('Task Log'!$O$2:$O$500,MATCH(30,'Task Log'!$Q$2:$Q$500,0))="","",INDEX('Task Log'!$O$2:$O$500,MATCH(30,'Task Log'!$Q$2:$Q$500,0))),"")</f>
        <v/>
      </c>
      <c r="J34" s="5" t="str">
        <f aca="false">IFERROR(IF(INDEX('Task Log'!$K$2:$K$500,MATCH(30,'Task Log'!$Q$2:$Q$500,0))="","",INDEX('Task Log'!$K$2:$K$500,MATCH(30,'Task Log'!$Q$2:$Q$500,0))),"")</f>
        <v/>
      </c>
      <c r="K34" s="5" t="str">
        <f aca="false">IFERROR(IF(INDEX('Task Log'!$N$2:$N$500,MATCH(30,'Task Log'!$Q$2:$Q$500,0))="","",INDEX('Task Log'!$N$2:$N$500,MATCH(30,'Task Log'!$Q$2:$Q$500,0))),"")</f>
        <v/>
      </c>
      <c r="L34" s="5" t="str">
        <f aca="false">IFERROR(IF(INDEX('Task Log'!$P$2:$P$500,MATCH(30,'Task Log'!$Q$2:$Q$500,0))="","",INDEX('Task Log'!$P$2:$P$500,MATCH(30,'Task Log'!$Q$2:$Q$500,0))),"")</f>
        <v/>
      </c>
    </row>
    <row r="35" customFormat="false" ht="15" hidden="false" customHeight="false" outlineLevel="0" collapsed="false">
      <c r="A35" s="5" t="str">
        <f aca="false">IFERROR(IF(MATCH(31,'Task Log'!$Q$2:$Q$500,0)&gt;0,31,""),"")</f>
        <v/>
      </c>
      <c r="B35" s="15" t="str">
        <f aca="false">IFERROR(IF(INDEX('Task Log'!$C$2:$C$500,MATCH(31,'Task Log'!$Q$2:$Q$500,0))="","",INDEX('Task Log'!$C$2:$C$500,MATCH(31,'Task Log'!$Q$2:$Q$500,0))),"")</f>
        <v/>
      </c>
      <c r="C35" s="15" t="str">
        <f aca="false">IFERROR(IF(INDEX('Task Log'!$D$2:$D$500,MATCH(31,'Task Log'!$Q$2:$Q$500,0))="","",INDEX('Task Log'!$D$2:$D$500,MATCH(31,'Task Log'!$Q$2:$Q$500,0))),"")</f>
        <v/>
      </c>
      <c r="D35" s="15" t="str">
        <f aca="false">IFERROR(IF(INDEX('Task Log'!$E$2:$E$500,MATCH(31,'Task Log'!$Q$2:$Q$500,0))="","",INDEX('Task Log'!$E$2:$E$500,MATCH(31,'Task Log'!$Q$2:$Q$500,0))),"")</f>
        <v/>
      </c>
      <c r="E35" s="5" t="str">
        <f aca="false">IFERROR(IF(INDEX('Task Log'!$G$2:$G$500,MATCH(31,'Task Log'!$Q$2:$Q$500,0))="","",INDEX('Task Log'!$G$2:$G$500,MATCH(31,'Task Log'!$Q$2:$Q$500,0))),"")</f>
        <v/>
      </c>
      <c r="F35" s="11" t="str">
        <f aca="false">IFERROR(IF(INDEX('Task Log'!$H$2:$H$500,MATCH(31,'Task Log'!$Q$2:$Q$500,0))="","",INDEX('Task Log'!$H$2:$H$500,MATCH(31,'Task Log'!$Q$2:$Q$500,0))),"")</f>
        <v/>
      </c>
      <c r="G35" s="11" t="str">
        <f aca="false">IFERROR(IF(INDEX('Task Log'!$I$2:$I$500,MATCH(31,'Task Log'!$Q$2:$Q$500,0))="","",INDEX('Task Log'!$I$2:$I$500,MATCH(31,'Task Log'!$Q$2:$Q$500,0))),"")</f>
        <v/>
      </c>
      <c r="H35" s="15" t="str">
        <f aca="false">IFERROR(IF(INDEX('Task Log'!$J$2:$J$500,MATCH(31,'Task Log'!$Q$2:$Q$500,0))="","",INDEX('Task Log'!$J$2:$J$500,MATCH(31,'Task Log'!$Q$2:$Q$500,0))),"")</f>
        <v/>
      </c>
      <c r="I35" s="5" t="str">
        <f aca="false">IFERROR(IF(INDEX('Task Log'!$O$2:$O$500,MATCH(31,'Task Log'!$Q$2:$Q$500,0))="","",INDEX('Task Log'!$O$2:$O$500,MATCH(31,'Task Log'!$Q$2:$Q$500,0))),"")</f>
        <v/>
      </c>
      <c r="J35" s="5" t="str">
        <f aca="false">IFERROR(IF(INDEX('Task Log'!$K$2:$K$500,MATCH(31,'Task Log'!$Q$2:$Q$500,0))="","",INDEX('Task Log'!$K$2:$K$500,MATCH(31,'Task Log'!$Q$2:$Q$500,0))),"")</f>
        <v/>
      </c>
      <c r="K35" s="5" t="str">
        <f aca="false">IFERROR(IF(INDEX('Task Log'!$N$2:$N$500,MATCH(31,'Task Log'!$Q$2:$Q$500,0))="","",INDEX('Task Log'!$N$2:$N$500,MATCH(31,'Task Log'!$Q$2:$Q$500,0))),"")</f>
        <v/>
      </c>
      <c r="L35" s="5" t="str">
        <f aca="false">IFERROR(IF(INDEX('Task Log'!$P$2:$P$500,MATCH(31,'Task Log'!$Q$2:$Q$500,0))="","",INDEX('Task Log'!$P$2:$P$500,MATCH(31,'Task Log'!$Q$2:$Q$500,0))),"")</f>
        <v/>
      </c>
    </row>
    <row r="36" customFormat="false" ht="15" hidden="false" customHeight="false" outlineLevel="0" collapsed="false">
      <c r="A36" s="5" t="str">
        <f aca="false">IFERROR(IF(MATCH(32,'Task Log'!$Q$2:$Q$500,0)&gt;0,32,""),"")</f>
        <v/>
      </c>
      <c r="B36" s="15" t="str">
        <f aca="false">IFERROR(IF(INDEX('Task Log'!$C$2:$C$500,MATCH(32,'Task Log'!$Q$2:$Q$500,0))="","",INDEX('Task Log'!$C$2:$C$500,MATCH(32,'Task Log'!$Q$2:$Q$500,0))),"")</f>
        <v/>
      </c>
      <c r="C36" s="15" t="str">
        <f aca="false">IFERROR(IF(INDEX('Task Log'!$D$2:$D$500,MATCH(32,'Task Log'!$Q$2:$Q$500,0))="","",INDEX('Task Log'!$D$2:$D$500,MATCH(32,'Task Log'!$Q$2:$Q$500,0))),"")</f>
        <v/>
      </c>
      <c r="D36" s="15" t="str">
        <f aca="false">IFERROR(IF(INDEX('Task Log'!$E$2:$E$500,MATCH(32,'Task Log'!$Q$2:$Q$500,0))="","",INDEX('Task Log'!$E$2:$E$500,MATCH(32,'Task Log'!$Q$2:$Q$500,0))),"")</f>
        <v/>
      </c>
      <c r="E36" s="5" t="str">
        <f aca="false">IFERROR(IF(INDEX('Task Log'!$G$2:$G$500,MATCH(32,'Task Log'!$Q$2:$Q$500,0))="","",INDEX('Task Log'!$G$2:$G$500,MATCH(32,'Task Log'!$Q$2:$Q$500,0))),"")</f>
        <v/>
      </c>
      <c r="F36" s="11" t="str">
        <f aca="false">IFERROR(IF(INDEX('Task Log'!$H$2:$H$500,MATCH(32,'Task Log'!$Q$2:$Q$500,0))="","",INDEX('Task Log'!$H$2:$H$500,MATCH(32,'Task Log'!$Q$2:$Q$500,0))),"")</f>
        <v/>
      </c>
      <c r="G36" s="11" t="str">
        <f aca="false">IFERROR(IF(INDEX('Task Log'!$I$2:$I$500,MATCH(32,'Task Log'!$Q$2:$Q$500,0))="","",INDEX('Task Log'!$I$2:$I$500,MATCH(32,'Task Log'!$Q$2:$Q$500,0))),"")</f>
        <v/>
      </c>
      <c r="H36" s="15" t="str">
        <f aca="false">IFERROR(IF(INDEX('Task Log'!$J$2:$J$500,MATCH(32,'Task Log'!$Q$2:$Q$500,0))="","",INDEX('Task Log'!$J$2:$J$500,MATCH(32,'Task Log'!$Q$2:$Q$500,0))),"")</f>
        <v/>
      </c>
      <c r="I36" s="5" t="str">
        <f aca="false">IFERROR(IF(INDEX('Task Log'!$O$2:$O$500,MATCH(32,'Task Log'!$Q$2:$Q$500,0))="","",INDEX('Task Log'!$O$2:$O$500,MATCH(32,'Task Log'!$Q$2:$Q$500,0))),"")</f>
        <v/>
      </c>
      <c r="J36" s="5" t="str">
        <f aca="false">IFERROR(IF(INDEX('Task Log'!$K$2:$K$500,MATCH(32,'Task Log'!$Q$2:$Q$500,0))="","",INDEX('Task Log'!$K$2:$K$500,MATCH(32,'Task Log'!$Q$2:$Q$500,0))),"")</f>
        <v/>
      </c>
      <c r="K36" s="5" t="str">
        <f aca="false">IFERROR(IF(INDEX('Task Log'!$N$2:$N$500,MATCH(32,'Task Log'!$Q$2:$Q$500,0))="","",INDEX('Task Log'!$N$2:$N$500,MATCH(32,'Task Log'!$Q$2:$Q$500,0))),"")</f>
        <v/>
      </c>
      <c r="L36" s="5" t="str">
        <f aca="false">IFERROR(IF(INDEX('Task Log'!$P$2:$P$500,MATCH(32,'Task Log'!$Q$2:$Q$500,0))="","",INDEX('Task Log'!$P$2:$P$500,MATCH(32,'Task Log'!$Q$2:$Q$500,0))),"")</f>
        <v/>
      </c>
    </row>
    <row r="37" customFormat="false" ht="15" hidden="false" customHeight="false" outlineLevel="0" collapsed="false">
      <c r="A37" s="5" t="str">
        <f aca="false">IFERROR(IF(MATCH(33,'Task Log'!$Q$2:$Q$500,0)&gt;0,33,""),"")</f>
        <v/>
      </c>
      <c r="B37" s="15" t="str">
        <f aca="false">IFERROR(IF(INDEX('Task Log'!$C$2:$C$500,MATCH(33,'Task Log'!$Q$2:$Q$500,0))="","",INDEX('Task Log'!$C$2:$C$500,MATCH(33,'Task Log'!$Q$2:$Q$500,0))),"")</f>
        <v/>
      </c>
      <c r="C37" s="15" t="str">
        <f aca="false">IFERROR(IF(INDEX('Task Log'!$D$2:$D$500,MATCH(33,'Task Log'!$Q$2:$Q$500,0))="","",INDEX('Task Log'!$D$2:$D$500,MATCH(33,'Task Log'!$Q$2:$Q$500,0))),"")</f>
        <v/>
      </c>
      <c r="D37" s="15" t="str">
        <f aca="false">IFERROR(IF(INDEX('Task Log'!$E$2:$E$500,MATCH(33,'Task Log'!$Q$2:$Q$500,0))="","",INDEX('Task Log'!$E$2:$E$500,MATCH(33,'Task Log'!$Q$2:$Q$500,0))),"")</f>
        <v/>
      </c>
      <c r="E37" s="5" t="str">
        <f aca="false">IFERROR(IF(INDEX('Task Log'!$G$2:$G$500,MATCH(33,'Task Log'!$Q$2:$Q$500,0))="","",INDEX('Task Log'!$G$2:$G$500,MATCH(33,'Task Log'!$Q$2:$Q$500,0))),"")</f>
        <v/>
      </c>
      <c r="F37" s="11" t="str">
        <f aca="false">IFERROR(IF(INDEX('Task Log'!$H$2:$H$500,MATCH(33,'Task Log'!$Q$2:$Q$500,0))="","",INDEX('Task Log'!$H$2:$H$500,MATCH(33,'Task Log'!$Q$2:$Q$500,0))),"")</f>
        <v/>
      </c>
      <c r="G37" s="11" t="str">
        <f aca="false">IFERROR(IF(INDEX('Task Log'!$I$2:$I$500,MATCH(33,'Task Log'!$Q$2:$Q$500,0))="","",INDEX('Task Log'!$I$2:$I$500,MATCH(33,'Task Log'!$Q$2:$Q$500,0))),"")</f>
        <v/>
      </c>
      <c r="H37" s="15" t="str">
        <f aca="false">IFERROR(IF(INDEX('Task Log'!$J$2:$J$500,MATCH(33,'Task Log'!$Q$2:$Q$500,0))="","",INDEX('Task Log'!$J$2:$J$500,MATCH(33,'Task Log'!$Q$2:$Q$500,0))),"")</f>
        <v/>
      </c>
      <c r="I37" s="5" t="str">
        <f aca="false">IFERROR(IF(INDEX('Task Log'!$O$2:$O$500,MATCH(33,'Task Log'!$Q$2:$Q$500,0))="","",INDEX('Task Log'!$O$2:$O$500,MATCH(33,'Task Log'!$Q$2:$Q$500,0))),"")</f>
        <v/>
      </c>
      <c r="J37" s="5" t="str">
        <f aca="false">IFERROR(IF(INDEX('Task Log'!$K$2:$K$500,MATCH(33,'Task Log'!$Q$2:$Q$500,0))="","",INDEX('Task Log'!$K$2:$K$500,MATCH(33,'Task Log'!$Q$2:$Q$500,0))),"")</f>
        <v/>
      </c>
      <c r="K37" s="5" t="str">
        <f aca="false">IFERROR(IF(INDEX('Task Log'!$N$2:$N$500,MATCH(33,'Task Log'!$Q$2:$Q$500,0))="","",INDEX('Task Log'!$N$2:$N$500,MATCH(33,'Task Log'!$Q$2:$Q$500,0))),"")</f>
        <v/>
      </c>
      <c r="L37" s="5" t="str">
        <f aca="false">IFERROR(IF(INDEX('Task Log'!$P$2:$P$500,MATCH(33,'Task Log'!$Q$2:$Q$500,0))="","",INDEX('Task Log'!$P$2:$P$500,MATCH(33,'Task Log'!$Q$2:$Q$500,0))),"")</f>
        <v/>
      </c>
    </row>
    <row r="38" customFormat="false" ht="15" hidden="false" customHeight="false" outlineLevel="0" collapsed="false">
      <c r="A38" s="5" t="str">
        <f aca="false">IFERROR(IF(MATCH(34,'Task Log'!$Q$2:$Q$500,0)&gt;0,34,""),"")</f>
        <v/>
      </c>
      <c r="B38" s="15" t="str">
        <f aca="false">IFERROR(IF(INDEX('Task Log'!$C$2:$C$500,MATCH(34,'Task Log'!$Q$2:$Q$500,0))="","",INDEX('Task Log'!$C$2:$C$500,MATCH(34,'Task Log'!$Q$2:$Q$500,0))),"")</f>
        <v/>
      </c>
      <c r="C38" s="15" t="str">
        <f aca="false">IFERROR(IF(INDEX('Task Log'!$D$2:$D$500,MATCH(34,'Task Log'!$Q$2:$Q$500,0))="","",INDEX('Task Log'!$D$2:$D$500,MATCH(34,'Task Log'!$Q$2:$Q$500,0))),"")</f>
        <v/>
      </c>
      <c r="D38" s="15" t="str">
        <f aca="false">IFERROR(IF(INDEX('Task Log'!$E$2:$E$500,MATCH(34,'Task Log'!$Q$2:$Q$500,0))="","",INDEX('Task Log'!$E$2:$E$500,MATCH(34,'Task Log'!$Q$2:$Q$500,0))),"")</f>
        <v/>
      </c>
      <c r="E38" s="5" t="str">
        <f aca="false">IFERROR(IF(INDEX('Task Log'!$G$2:$G$500,MATCH(34,'Task Log'!$Q$2:$Q$500,0))="","",INDEX('Task Log'!$G$2:$G$500,MATCH(34,'Task Log'!$Q$2:$Q$500,0))),"")</f>
        <v/>
      </c>
      <c r="F38" s="11" t="str">
        <f aca="false">IFERROR(IF(INDEX('Task Log'!$H$2:$H$500,MATCH(34,'Task Log'!$Q$2:$Q$500,0))="","",INDEX('Task Log'!$H$2:$H$500,MATCH(34,'Task Log'!$Q$2:$Q$500,0))),"")</f>
        <v/>
      </c>
      <c r="G38" s="11" t="str">
        <f aca="false">IFERROR(IF(INDEX('Task Log'!$I$2:$I$500,MATCH(34,'Task Log'!$Q$2:$Q$500,0))="","",INDEX('Task Log'!$I$2:$I$500,MATCH(34,'Task Log'!$Q$2:$Q$500,0))),"")</f>
        <v/>
      </c>
      <c r="H38" s="15" t="str">
        <f aca="false">IFERROR(IF(INDEX('Task Log'!$J$2:$J$500,MATCH(34,'Task Log'!$Q$2:$Q$500,0))="","",INDEX('Task Log'!$J$2:$J$500,MATCH(34,'Task Log'!$Q$2:$Q$500,0))),"")</f>
        <v/>
      </c>
      <c r="I38" s="5" t="str">
        <f aca="false">IFERROR(IF(INDEX('Task Log'!$O$2:$O$500,MATCH(34,'Task Log'!$Q$2:$Q$500,0))="","",INDEX('Task Log'!$O$2:$O$500,MATCH(34,'Task Log'!$Q$2:$Q$500,0))),"")</f>
        <v/>
      </c>
      <c r="J38" s="5" t="str">
        <f aca="false">IFERROR(IF(INDEX('Task Log'!$K$2:$K$500,MATCH(34,'Task Log'!$Q$2:$Q$500,0))="","",INDEX('Task Log'!$K$2:$K$500,MATCH(34,'Task Log'!$Q$2:$Q$500,0))),"")</f>
        <v/>
      </c>
      <c r="K38" s="5" t="str">
        <f aca="false">IFERROR(IF(INDEX('Task Log'!$N$2:$N$500,MATCH(34,'Task Log'!$Q$2:$Q$500,0))="","",INDEX('Task Log'!$N$2:$N$500,MATCH(34,'Task Log'!$Q$2:$Q$500,0))),"")</f>
        <v/>
      </c>
      <c r="L38" s="5" t="str">
        <f aca="false">IFERROR(IF(INDEX('Task Log'!$P$2:$P$500,MATCH(34,'Task Log'!$Q$2:$Q$500,0))="","",INDEX('Task Log'!$P$2:$P$500,MATCH(34,'Task Log'!$Q$2:$Q$500,0))),"")</f>
        <v/>
      </c>
    </row>
    <row r="39" customFormat="false" ht="15" hidden="false" customHeight="false" outlineLevel="0" collapsed="false">
      <c r="A39" s="5" t="str">
        <f aca="false">IFERROR(IF(MATCH(35,'Task Log'!$Q$2:$Q$500,0)&gt;0,35,""),"")</f>
        <v/>
      </c>
      <c r="B39" s="15" t="str">
        <f aca="false">IFERROR(IF(INDEX('Task Log'!$C$2:$C$500,MATCH(35,'Task Log'!$Q$2:$Q$500,0))="","",INDEX('Task Log'!$C$2:$C$500,MATCH(35,'Task Log'!$Q$2:$Q$500,0))),"")</f>
        <v/>
      </c>
      <c r="C39" s="15" t="str">
        <f aca="false">IFERROR(IF(INDEX('Task Log'!$D$2:$D$500,MATCH(35,'Task Log'!$Q$2:$Q$500,0))="","",INDEX('Task Log'!$D$2:$D$500,MATCH(35,'Task Log'!$Q$2:$Q$500,0))),"")</f>
        <v/>
      </c>
      <c r="D39" s="15" t="str">
        <f aca="false">IFERROR(IF(INDEX('Task Log'!$E$2:$E$500,MATCH(35,'Task Log'!$Q$2:$Q$500,0))="","",INDEX('Task Log'!$E$2:$E$500,MATCH(35,'Task Log'!$Q$2:$Q$500,0))),"")</f>
        <v/>
      </c>
      <c r="E39" s="5" t="str">
        <f aca="false">IFERROR(IF(INDEX('Task Log'!$G$2:$G$500,MATCH(35,'Task Log'!$Q$2:$Q$500,0))="","",INDEX('Task Log'!$G$2:$G$500,MATCH(35,'Task Log'!$Q$2:$Q$500,0))),"")</f>
        <v/>
      </c>
      <c r="F39" s="11" t="str">
        <f aca="false">IFERROR(IF(INDEX('Task Log'!$H$2:$H$500,MATCH(35,'Task Log'!$Q$2:$Q$500,0))="","",INDEX('Task Log'!$H$2:$H$500,MATCH(35,'Task Log'!$Q$2:$Q$500,0))),"")</f>
        <v/>
      </c>
      <c r="G39" s="11" t="str">
        <f aca="false">IFERROR(IF(INDEX('Task Log'!$I$2:$I$500,MATCH(35,'Task Log'!$Q$2:$Q$500,0))="","",INDEX('Task Log'!$I$2:$I$500,MATCH(35,'Task Log'!$Q$2:$Q$500,0))),"")</f>
        <v/>
      </c>
      <c r="H39" s="15" t="str">
        <f aca="false">IFERROR(IF(INDEX('Task Log'!$J$2:$J$500,MATCH(35,'Task Log'!$Q$2:$Q$500,0))="","",INDEX('Task Log'!$J$2:$J$500,MATCH(35,'Task Log'!$Q$2:$Q$500,0))),"")</f>
        <v/>
      </c>
      <c r="I39" s="5" t="str">
        <f aca="false">IFERROR(IF(INDEX('Task Log'!$O$2:$O$500,MATCH(35,'Task Log'!$Q$2:$Q$500,0))="","",INDEX('Task Log'!$O$2:$O$500,MATCH(35,'Task Log'!$Q$2:$Q$500,0))),"")</f>
        <v/>
      </c>
      <c r="J39" s="5" t="str">
        <f aca="false">IFERROR(IF(INDEX('Task Log'!$K$2:$K$500,MATCH(35,'Task Log'!$Q$2:$Q$500,0))="","",INDEX('Task Log'!$K$2:$K$500,MATCH(35,'Task Log'!$Q$2:$Q$500,0))),"")</f>
        <v/>
      </c>
      <c r="K39" s="5" t="str">
        <f aca="false">IFERROR(IF(INDEX('Task Log'!$N$2:$N$500,MATCH(35,'Task Log'!$Q$2:$Q$500,0))="","",INDEX('Task Log'!$N$2:$N$500,MATCH(35,'Task Log'!$Q$2:$Q$500,0))),"")</f>
        <v/>
      </c>
      <c r="L39" s="5" t="str">
        <f aca="false">IFERROR(IF(INDEX('Task Log'!$P$2:$P$500,MATCH(35,'Task Log'!$Q$2:$Q$500,0))="","",INDEX('Task Log'!$P$2:$P$500,MATCH(35,'Task Log'!$Q$2:$Q$500,0))),"")</f>
        <v/>
      </c>
    </row>
    <row r="40" customFormat="false" ht="15" hidden="false" customHeight="false" outlineLevel="0" collapsed="false">
      <c r="A40" s="5" t="str">
        <f aca="false">IFERROR(IF(MATCH(36,'Task Log'!$Q$2:$Q$500,0)&gt;0,36,""),"")</f>
        <v/>
      </c>
      <c r="B40" s="15" t="str">
        <f aca="false">IFERROR(IF(INDEX('Task Log'!$C$2:$C$500,MATCH(36,'Task Log'!$Q$2:$Q$500,0))="","",INDEX('Task Log'!$C$2:$C$500,MATCH(36,'Task Log'!$Q$2:$Q$500,0))),"")</f>
        <v/>
      </c>
      <c r="C40" s="15" t="str">
        <f aca="false">IFERROR(IF(INDEX('Task Log'!$D$2:$D$500,MATCH(36,'Task Log'!$Q$2:$Q$500,0))="","",INDEX('Task Log'!$D$2:$D$500,MATCH(36,'Task Log'!$Q$2:$Q$500,0))),"")</f>
        <v/>
      </c>
      <c r="D40" s="15" t="str">
        <f aca="false">IFERROR(IF(INDEX('Task Log'!$E$2:$E$500,MATCH(36,'Task Log'!$Q$2:$Q$500,0))="","",INDEX('Task Log'!$E$2:$E$500,MATCH(36,'Task Log'!$Q$2:$Q$500,0))),"")</f>
        <v/>
      </c>
      <c r="E40" s="5" t="str">
        <f aca="false">IFERROR(IF(INDEX('Task Log'!$G$2:$G$500,MATCH(36,'Task Log'!$Q$2:$Q$500,0))="","",INDEX('Task Log'!$G$2:$G$500,MATCH(36,'Task Log'!$Q$2:$Q$500,0))),"")</f>
        <v/>
      </c>
      <c r="F40" s="11" t="str">
        <f aca="false">IFERROR(IF(INDEX('Task Log'!$H$2:$H$500,MATCH(36,'Task Log'!$Q$2:$Q$500,0))="","",INDEX('Task Log'!$H$2:$H$500,MATCH(36,'Task Log'!$Q$2:$Q$500,0))),"")</f>
        <v/>
      </c>
      <c r="G40" s="11" t="str">
        <f aca="false">IFERROR(IF(INDEX('Task Log'!$I$2:$I$500,MATCH(36,'Task Log'!$Q$2:$Q$500,0))="","",INDEX('Task Log'!$I$2:$I$500,MATCH(36,'Task Log'!$Q$2:$Q$500,0))),"")</f>
        <v/>
      </c>
      <c r="H40" s="15" t="str">
        <f aca="false">IFERROR(IF(INDEX('Task Log'!$J$2:$J$500,MATCH(36,'Task Log'!$Q$2:$Q$500,0))="","",INDEX('Task Log'!$J$2:$J$500,MATCH(36,'Task Log'!$Q$2:$Q$500,0))),"")</f>
        <v/>
      </c>
      <c r="I40" s="5" t="str">
        <f aca="false">IFERROR(IF(INDEX('Task Log'!$O$2:$O$500,MATCH(36,'Task Log'!$Q$2:$Q$500,0))="","",INDEX('Task Log'!$O$2:$O$500,MATCH(36,'Task Log'!$Q$2:$Q$500,0))),"")</f>
        <v/>
      </c>
      <c r="J40" s="5" t="str">
        <f aca="false">IFERROR(IF(INDEX('Task Log'!$K$2:$K$500,MATCH(36,'Task Log'!$Q$2:$Q$500,0))="","",INDEX('Task Log'!$K$2:$K$500,MATCH(36,'Task Log'!$Q$2:$Q$500,0))),"")</f>
        <v/>
      </c>
      <c r="K40" s="5" t="str">
        <f aca="false">IFERROR(IF(INDEX('Task Log'!$N$2:$N$500,MATCH(36,'Task Log'!$Q$2:$Q$500,0))="","",INDEX('Task Log'!$N$2:$N$500,MATCH(36,'Task Log'!$Q$2:$Q$500,0))),"")</f>
        <v/>
      </c>
      <c r="L40" s="5" t="str">
        <f aca="false">IFERROR(IF(INDEX('Task Log'!$P$2:$P$500,MATCH(36,'Task Log'!$Q$2:$Q$500,0))="","",INDEX('Task Log'!$P$2:$P$500,MATCH(36,'Task Log'!$Q$2:$Q$500,0))),"")</f>
        <v/>
      </c>
    </row>
    <row r="41" customFormat="false" ht="15" hidden="false" customHeight="false" outlineLevel="0" collapsed="false">
      <c r="A41" s="5" t="str">
        <f aca="false">IFERROR(IF(MATCH(37,'Task Log'!$Q$2:$Q$500,0)&gt;0,37,""),"")</f>
        <v/>
      </c>
      <c r="B41" s="15" t="str">
        <f aca="false">IFERROR(IF(INDEX('Task Log'!$C$2:$C$500,MATCH(37,'Task Log'!$Q$2:$Q$500,0))="","",INDEX('Task Log'!$C$2:$C$500,MATCH(37,'Task Log'!$Q$2:$Q$500,0))),"")</f>
        <v/>
      </c>
      <c r="C41" s="15" t="str">
        <f aca="false">IFERROR(IF(INDEX('Task Log'!$D$2:$D$500,MATCH(37,'Task Log'!$Q$2:$Q$500,0))="","",INDEX('Task Log'!$D$2:$D$500,MATCH(37,'Task Log'!$Q$2:$Q$500,0))),"")</f>
        <v/>
      </c>
      <c r="D41" s="15" t="str">
        <f aca="false">IFERROR(IF(INDEX('Task Log'!$E$2:$E$500,MATCH(37,'Task Log'!$Q$2:$Q$500,0))="","",INDEX('Task Log'!$E$2:$E$500,MATCH(37,'Task Log'!$Q$2:$Q$500,0))),"")</f>
        <v/>
      </c>
      <c r="E41" s="5" t="str">
        <f aca="false">IFERROR(IF(INDEX('Task Log'!$G$2:$G$500,MATCH(37,'Task Log'!$Q$2:$Q$500,0))="","",INDEX('Task Log'!$G$2:$G$500,MATCH(37,'Task Log'!$Q$2:$Q$500,0))),"")</f>
        <v/>
      </c>
      <c r="F41" s="11" t="str">
        <f aca="false">IFERROR(IF(INDEX('Task Log'!$H$2:$H$500,MATCH(37,'Task Log'!$Q$2:$Q$500,0))="","",INDEX('Task Log'!$H$2:$H$500,MATCH(37,'Task Log'!$Q$2:$Q$500,0))),"")</f>
        <v/>
      </c>
      <c r="G41" s="11" t="str">
        <f aca="false">IFERROR(IF(INDEX('Task Log'!$I$2:$I$500,MATCH(37,'Task Log'!$Q$2:$Q$500,0))="","",INDEX('Task Log'!$I$2:$I$500,MATCH(37,'Task Log'!$Q$2:$Q$500,0))),"")</f>
        <v/>
      </c>
      <c r="H41" s="15" t="str">
        <f aca="false">IFERROR(IF(INDEX('Task Log'!$J$2:$J$500,MATCH(37,'Task Log'!$Q$2:$Q$500,0))="","",INDEX('Task Log'!$J$2:$J$500,MATCH(37,'Task Log'!$Q$2:$Q$500,0))),"")</f>
        <v/>
      </c>
      <c r="I41" s="5" t="str">
        <f aca="false">IFERROR(IF(INDEX('Task Log'!$O$2:$O$500,MATCH(37,'Task Log'!$Q$2:$Q$500,0))="","",INDEX('Task Log'!$O$2:$O$500,MATCH(37,'Task Log'!$Q$2:$Q$500,0))),"")</f>
        <v/>
      </c>
      <c r="J41" s="5" t="str">
        <f aca="false">IFERROR(IF(INDEX('Task Log'!$K$2:$K$500,MATCH(37,'Task Log'!$Q$2:$Q$500,0))="","",INDEX('Task Log'!$K$2:$K$500,MATCH(37,'Task Log'!$Q$2:$Q$500,0))),"")</f>
        <v/>
      </c>
      <c r="K41" s="5" t="str">
        <f aca="false">IFERROR(IF(INDEX('Task Log'!$N$2:$N$500,MATCH(37,'Task Log'!$Q$2:$Q$500,0))="","",INDEX('Task Log'!$N$2:$N$500,MATCH(37,'Task Log'!$Q$2:$Q$500,0))),"")</f>
        <v/>
      </c>
      <c r="L41" s="5" t="str">
        <f aca="false">IFERROR(IF(INDEX('Task Log'!$P$2:$P$500,MATCH(37,'Task Log'!$Q$2:$Q$500,0))="","",INDEX('Task Log'!$P$2:$P$500,MATCH(37,'Task Log'!$Q$2:$Q$500,0))),"")</f>
        <v/>
      </c>
    </row>
    <row r="42" customFormat="false" ht="15" hidden="false" customHeight="false" outlineLevel="0" collapsed="false">
      <c r="A42" s="5" t="str">
        <f aca="false">IFERROR(IF(MATCH(38,'Task Log'!$Q$2:$Q$500,0)&gt;0,38,""),"")</f>
        <v/>
      </c>
      <c r="B42" s="15" t="str">
        <f aca="false">IFERROR(IF(INDEX('Task Log'!$C$2:$C$500,MATCH(38,'Task Log'!$Q$2:$Q$500,0))="","",INDEX('Task Log'!$C$2:$C$500,MATCH(38,'Task Log'!$Q$2:$Q$500,0))),"")</f>
        <v/>
      </c>
      <c r="C42" s="15" t="str">
        <f aca="false">IFERROR(IF(INDEX('Task Log'!$D$2:$D$500,MATCH(38,'Task Log'!$Q$2:$Q$500,0))="","",INDEX('Task Log'!$D$2:$D$500,MATCH(38,'Task Log'!$Q$2:$Q$500,0))),"")</f>
        <v/>
      </c>
      <c r="D42" s="15" t="str">
        <f aca="false">IFERROR(IF(INDEX('Task Log'!$E$2:$E$500,MATCH(38,'Task Log'!$Q$2:$Q$500,0))="","",INDEX('Task Log'!$E$2:$E$500,MATCH(38,'Task Log'!$Q$2:$Q$500,0))),"")</f>
        <v/>
      </c>
      <c r="E42" s="5" t="str">
        <f aca="false">IFERROR(IF(INDEX('Task Log'!$G$2:$G$500,MATCH(38,'Task Log'!$Q$2:$Q$500,0))="","",INDEX('Task Log'!$G$2:$G$500,MATCH(38,'Task Log'!$Q$2:$Q$500,0))),"")</f>
        <v/>
      </c>
      <c r="F42" s="11" t="str">
        <f aca="false">IFERROR(IF(INDEX('Task Log'!$H$2:$H$500,MATCH(38,'Task Log'!$Q$2:$Q$500,0))="","",INDEX('Task Log'!$H$2:$H$500,MATCH(38,'Task Log'!$Q$2:$Q$500,0))),"")</f>
        <v/>
      </c>
      <c r="G42" s="11" t="str">
        <f aca="false">IFERROR(IF(INDEX('Task Log'!$I$2:$I$500,MATCH(38,'Task Log'!$Q$2:$Q$500,0))="","",INDEX('Task Log'!$I$2:$I$500,MATCH(38,'Task Log'!$Q$2:$Q$500,0))),"")</f>
        <v/>
      </c>
      <c r="H42" s="15" t="str">
        <f aca="false">IFERROR(IF(INDEX('Task Log'!$J$2:$J$500,MATCH(38,'Task Log'!$Q$2:$Q$500,0))="","",INDEX('Task Log'!$J$2:$J$500,MATCH(38,'Task Log'!$Q$2:$Q$500,0))),"")</f>
        <v/>
      </c>
      <c r="I42" s="5" t="str">
        <f aca="false">IFERROR(IF(INDEX('Task Log'!$O$2:$O$500,MATCH(38,'Task Log'!$Q$2:$Q$500,0))="","",INDEX('Task Log'!$O$2:$O$500,MATCH(38,'Task Log'!$Q$2:$Q$500,0))),"")</f>
        <v/>
      </c>
      <c r="J42" s="5" t="str">
        <f aca="false">IFERROR(IF(INDEX('Task Log'!$K$2:$K$500,MATCH(38,'Task Log'!$Q$2:$Q$500,0))="","",INDEX('Task Log'!$K$2:$K$500,MATCH(38,'Task Log'!$Q$2:$Q$500,0))),"")</f>
        <v/>
      </c>
      <c r="K42" s="5" t="str">
        <f aca="false">IFERROR(IF(INDEX('Task Log'!$N$2:$N$500,MATCH(38,'Task Log'!$Q$2:$Q$500,0))="","",INDEX('Task Log'!$N$2:$N$500,MATCH(38,'Task Log'!$Q$2:$Q$500,0))),"")</f>
        <v/>
      </c>
      <c r="L42" s="5" t="str">
        <f aca="false">IFERROR(IF(INDEX('Task Log'!$P$2:$P$500,MATCH(38,'Task Log'!$Q$2:$Q$500,0))="","",INDEX('Task Log'!$P$2:$P$500,MATCH(38,'Task Log'!$Q$2:$Q$500,0))),"")</f>
        <v/>
      </c>
    </row>
    <row r="43" customFormat="false" ht="15" hidden="false" customHeight="false" outlineLevel="0" collapsed="false">
      <c r="A43" s="5" t="str">
        <f aca="false">IFERROR(IF(MATCH(39,'Task Log'!$Q$2:$Q$500,0)&gt;0,39,""),"")</f>
        <v/>
      </c>
      <c r="B43" s="15" t="str">
        <f aca="false">IFERROR(IF(INDEX('Task Log'!$C$2:$C$500,MATCH(39,'Task Log'!$Q$2:$Q$500,0))="","",INDEX('Task Log'!$C$2:$C$500,MATCH(39,'Task Log'!$Q$2:$Q$500,0))),"")</f>
        <v/>
      </c>
      <c r="C43" s="15" t="str">
        <f aca="false">IFERROR(IF(INDEX('Task Log'!$D$2:$D$500,MATCH(39,'Task Log'!$Q$2:$Q$500,0))="","",INDEX('Task Log'!$D$2:$D$500,MATCH(39,'Task Log'!$Q$2:$Q$500,0))),"")</f>
        <v/>
      </c>
      <c r="D43" s="15" t="str">
        <f aca="false">IFERROR(IF(INDEX('Task Log'!$E$2:$E$500,MATCH(39,'Task Log'!$Q$2:$Q$500,0))="","",INDEX('Task Log'!$E$2:$E$500,MATCH(39,'Task Log'!$Q$2:$Q$500,0))),"")</f>
        <v/>
      </c>
      <c r="E43" s="5" t="str">
        <f aca="false">IFERROR(IF(INDEX('Task Log'!$G$2:$G$500,MATCH(39,'Task Log'!$Q$2:$Q$500,0))="","",INDEX('Task Log'!$G$2:$G$500,MATCH(39,'Task Log'!$Q$2:$Q$500,0))),"")</f>
        <v/>
      </c>
      <c r="F43" s="11" t="str">
        <f aca="false">IFERROR(IF(INDEX('Task Log'!$H$2:$H$500,MATCH(39,'Task Log'!$Q$2:$Q$500,0))="","",INDEX('Task Log'!$H$2:$H$500,MATCH(39,'Task Log'!$Q$2:$Q$500,0))),"")</f>
        <v/>
      </c>
      <c r="G43" s="11" t="str">
        <f aca="false">IFERROR(IF(INDEX('Task Log'!$I$2:$I$500,MATCH(39,'Task Log'!$Q$2:$Q$500,0))="","",INDEX('Task Log'!$I$2:$I$500,MATCH(39,'Task Log'!$Q$2:$Q$500,0))),"")</f>
        <v/>
      </c>
      <c r="H43" s="15" t="str">
        <f aca="false">IFERROR(IF(INDEX('Task Log'!$J$2:$J$500,MATCH(39,'Task Log'!$Q$2:$Q$500,0))="","",INDEX('Task Log'!$J$2:$J$500,MATCH(39,'Task Log'!$Q$2:$Q$500,0))),"")</f>
        <v/>
      </c>
      <c r="I43" s="5" t="str">
        <f aca="false">IFERROR(IF(INDEX('Task Log'!$O$2:$O$500,MATCH(39,'Task Log'!$Q$2:$Q$500,0))="","",INDEX('Task Log'!$O$2:$O$500,MATCH(39,'Task Log'!$Q$2:$Q$500,0))),"")</f>
        <v/>
      </c>
      <c r="J43" s="5" t="str">
        <f aca="false">IFERROR(IF(INDEX('Task Log'!$K$2:$K$500,MATCH(39,'Task Log'!$Q$2:$Q$500,0))="","",INDEX('Task Log'!$K$2:$K$500,MATCH(39,'Task Log'!$Q$2:$Q$500,0))),"")</f>
        <v/>
      </c>
      <c r="K43" s="5" t="str">
        <f aca="false">IFERROR(IF(INDEX('Task Log'!$N$2:$N$500,MATCH(39,'Task Log'!$Q$2:$Q$500,0))="","",INDEX('Task Log'!$N$2:$N$500,MATCH(39,'Task Log'!$Q$2:$Q$500,0))),"")</f>
        <v/>
      </c>
      <c r="L43" s="5" t="str">
        <f aca="false">IFERROR(IF(INDEX('Task Log'!$P$2:$P$500,MATCH(39,'Task Log'!$Q$2:$Q$500,0))="","",INDEX('Task Log'!$P$2:$P$500,MATCH(39,'Task Log'!$Q$2:$Q$500,0))),"")</f>
        <v/>
      </c>
    </row>
    <row r="44" customFormat="false" ht="15" hidden="false" customHeight="false" outlineLevel="0" collapsed="false">
      <c r="A44" s="5" t="str">
        <f aca="false">IFERROR(IF(MATCH(40,'Task Log'!$Q$2:$Q$500,0)&gt;0,40,""),"")</f>
        <v/>
      </c>
      <c r="B44" s="15" t="str">
        <f aca="false">IFERROR(IF(INDEX('Task Log'!$C$2:$C$500,MATCH(40,'Task Log'!$Q$2:$Q$500,0))="","",INDEX('Task Log'!$C$2:$C$500,MATCH(40,'Task Log'!$Q$2:$Q$500,0))),"")</f>
        <v/>
      </c>
      <c r="C44" s="15" t="str">
        <f aca="false">IFERROR(IF(INDEX('Task Log'!$D$2:$D$500,MATCH(40,'Task Log'!$Q$2:$Q$500,0))="","",INDEX('Task Log'!$D$2:$D$500,MATCH(40,'Task Log'!$Q$2:$Q$500,0))),"")</f>
        <v/>
      </c>
      <c r="D44" s="15" t="str">
        <f aca="false">IFERROR(IF(INDEX('Task Log'!$E$2:$E$500,MATCH(40,'Task Log'!$Q$2:$Q$500,0))="","",INDEX('Task Log'!$E$2:$E$500,MATCH(40,'Task Log'!$Q$2:$Q$500,0))),"")</f>
        <v/>
      </c>
      <c r="E44" s="5" t="str">
        <f aca="false">IFERROR(IF(INDEX('Task Log'!$G$2:$G$500,MATCH(40,'Task Log'!$Q$2:$Q$500,0))="","",INDEX('Task Log'!$G$2:$G$500,MATCH(40,'Task Log'!$Q$2:$Q$500,0))),"")</f>
        <v/>
      </c>
      <c r="F44" s="11" t="str">
        <f aca="false">IFERROR(IF(INDEX('Task Log'!$H$2:$H$500,MATCH(40,'Task Log'!$Q$2:$Q$500,0))="","",INDEX('Task Log'!$H$2:$H$500,MATCH(40,'Task Log'!$Q$2:$Q$500,0))),"")</f>
        <v/>
      </c>
      <c r="G44" s="11" t="str">
        <f aca="false">IFERROR(IF(INDEX('Task Log'!$I$2:$I$500,MATCH(40,'Task Log'!$Q$2:$Q$500,0))="","",INDEX('Task Log'!$I$2:$I$500,MATCH(40,'Task Log'!$Q$2:$Q$500,0))),"")</f>
        <v/>
      </c>
      <c r="H44" s="15" t="str">
        <f aca="false">IFERROR(IF(INDEX('Task Log'!$J$2:$J$500,MATCH(40,'Task Log'!$Q$2:$Q$500,0))="","",INDEX('Task Log'!$J$2:$J$500,MATCH(40,'Task Log'!$Q$2:$Q$500,0))),"")</f>
        <v/>
      </c>
      <c r="I44" s="5" t="str">
        <f aca="false">IFERROR(IF(INDEX('Task Log'!$O$2:$O$500,MATCH(40,'Task Log'!$Q$2:$Q$500,0))="","",INDEX('Task Log'!$O$2:$O$500,MATCH(40,'Task Log'!$Q$2:$Q$500,0))),"")</f>
        <v/>
      </c>
      <c r="J44" s="5" t="str">
        <f aca="false">IFERROR(IF(INDEX('Task Log'!$K$2:$K$500,MATCH(40,'Task Log'!$Q$2:$Q$500,0))="","",INDEX('Task Log'!$K$2:$K$500,MATCH(40,'Task Log'!$Q$2:$Q$500,0))),"")</f>
        <v/>
      </c>
      <c r="K44" s="5" t="str">
        <f aca="false">IFERROR(IF(INDEX('Task Log'!$N$2:$N$500,MATCH(40,'Task Log'!$Q$2:$Q$500,0))="","",INDEX('Task Log'!$N$2:$N$500,MATCH(40,'Task Log'!$Q$2:$Q$500,0))),"")</f>
        <v/>
      </c>
      <c r="L44" s="5" t="str">
        <f aca="false">IFERROR(IF(INDEX('Task Log'!$P$2:$P$500,MATCH(40,'Task Log'!$Q$2:$Q$500,0))="","",INDEX('Task Log'!$P$2:$P$500,MATCH(40,'Task Log'!$Q$2:$Q$500,0))),"")</f>
        <v/>
      </c>
    </row>
    <row r="45" customFormat="false" ht="15" hidden="false" customHeight="false" outlineLevel="0" collapsed="false">
      <c r="A45" s="5" t="str">
        <f aca="false">IFERROR(IF(MATCH(41,'Task Log'!$Q$2:$Q$500,0)&gt;0,41,""),"")</f>
        <v/>
      </c>
      <c r="B45" s="15" t="str">
        <f aca="false">IFERROR(IF(INDEX('Task Log'!$C$2:$C$500,MATCH(41,'Task Log'!$Q$2:$Q$500,0))="","",INDEX('Task Log'!$C$2:$C$500,MATCH(41,'Task Log'!$Q$2:$Q$500,0))),"")</f>
        <v/>
      </c>
      <c r="C45" s="15" t="str">
        <f aca="false">IFERROR(IF(INDEX('Task Log'!$D$2:$D$500,MATCH(41,'Task Log'!$Q$2:$Q$500,0))="","",INDEX('Task Log'!$D$2:$D$500,MATCH(41,'Task Log'!$Q$2:$Q$500,0))),"")</f>
        <v/>
      </c>
      <c r="D45" s="15" t="str">
        <f aca="false">IFERROR(IF(INDEX('Task Log'!$E$2:$E$500,MATCH(41,'Task Log'!$Q$2:$Q$500,0))="","",INDEX('Task Log'!$E$2:$E$500,MATCH(41,'Task Log'!$Q$2:$Q$500,0))),"")</f>
        <v/>
      </c>
      <c r="E45" s="5" t="str">
        <f aca="false">IFERROR(IF(INDEX('Task Log'!$G$2:$G$500,MATCH(41,'Task Log'!$Q$2:$Q$500,0))="","",INDEX('Task Log'!$G$2:$G$500,MATCH(41,'Task Log'!$Q$2:$Q$500,0))),"")</f>
        <v/>
      </c>
      <c r="F45" s="11" t="str">
        <f aca="false">IFERROR(IF(INDEX('Task Log'!$H$2:$H$500,MATCH(41,'Task Log'!$Q$2:$Q$500,0))="","",INDEX('Task Log'!$H$2:$H$500,MATCH(41,'Task Log'!$Q$2:$Q$500,0))),"")</f>
        <v/>
      </c>
      <c r="G45" s="11" t="str">
        <f aca="false">IFERROR(IF(INDEX('Task Log'!$I$2:$I$500,MATCH(41,'Task Log'!$Q$2:$Q$500,0))="","",INDEX('Task Log'!$I$2:$I$500,MATCH(41,'Task Log'!$Q$2:$Q$500,0))),"")</f>
        <v/>
      </c>
      <c r="H45" s="15" t="str">
        <f aca="false">IFERROR(IF(INDEX('Task Log'!$J$2:$J$500,MATCH(41,'Task Log'!$Q$2:$Q$500,0))="","",INDEX('Task Log'!$J$2:$J$500,MATCH(41,'Task Log'!$Q$2:$Q$500,0))),"")</f>
        <v/>
      </c>
      <c r="I45" s="5" t="str">
        <f aca="false">IFERROR(IF(INDEX('Task Log'!$O$2:$O$500,MATCH(41,'Task Log'!$Q$2:$Q$500,0))="","",INDEX('Task Log'!$O$2:$O$500,MATCH(41,'Task Log'!$Q$2:$Q$500,0))),"")</f>
        <v/>
      </c>
      <c r="J45" s="5" t="str">
        <f aca="false">IFERROR(IF(INDEX('Task Log'!$K$2:$K$500,MATCH(41,'Task Log'!$Q$2:$Q$500,0))="","",INDEX('Task Log'!$K$2:$K$500,MATCH(41,'Task Log'!$Q$2:$Q$500,0))),"")</f>
        <v/>
      </c>
      <c r="K45" s="5" t="str">
        <f aca="false">IFERROR(IF(INDEX('Task Log'!$N$2:$N$500,MATCH(41,'Task Log'!$Q$2:$Q$500,0))="","",INDEX('Task Log'!$N$2:$N$500,MATCH(41,'Task Log'!$Q$2:$Q$500,0))),"")</f>
        <v/>
      </c>
      <c r="L45" s="5" t="str">
        <f aca="false">IFERROR(IF(INDEX('Task Log'!$P$2:$P$500,MATCH(41,'Task Log'!$Q$2:$Q$500,0))="","",INDEX('Task Log'!$P$2:$P$500,MATCH(41,'Task Log'!$Q$2:$Q$500,0))),"")</f>
        <v/>
      </c>
    </row>
    <row r="46" customFormat="false" ht="15" hidden="false" customHeight="false" outlineLevel="0" collapsed="false">
      <c r="A46" s="5" t="str">
        <f aca="false">IFERROR(IF(MATCH(42,'Task Log'!$Q$2:$Q$500,0)&gt;0,42,""),"")</f>
        <v/>
      </c>
      <c r="B46" s="15" t="str">
        <f aca="false">IFERROR(IF(INDEX('Task Log'!$C$2:$C$500,MATCH(42,'Task Log'!$Q$2:$Q$500,0))="","",INDEX('Task Log'!$C$2:$C$500,MATCH(42,'Task Log'!$Q$2:$Q$500,0))),"")</f>
        <v/>
      </c>
      <c r="C46" s="15" t="str">
        <f aca="false">IFERROR(IF(INDEX('Task Log'!$D$2:$D$500,MATCH(42,'Task Log'!$Q$2:$Q$500,0))="","",INDEX('Task Log'!$D$2:$D$500,MATCH(42,'Task Log'!$Q$2:$Q$500,0))),"")</f>
        <v/>
      </c>
      <c r="D46" s="15" t="str">
        <f aca="false">IFERROR(IF(INDEX('Task Log'!$E$2:$E$500,MATCH(42,'Task Log'!$Q$2:$Q$500,0))="","",INDEX('Task Log'!$E$2:$E$500,MATCH(42,'Task Log'!$Q$2:$Q$500,0))),"")</f>
        <v/>
      </c>
      <c r="E46" s="5" t="str">
        <f aca="false">IFERROR(IF(INDEX('Task Log'!$G$2:$G$500,MATCH(42,'Task Log'!$Q$2:$Q$500,0))="","",INDEX('Task Log'!$G$2:$G$500,MATCH(42,'Task Log'!$Q$2:$Q$500,0))),"")</f>
        <v/>
      </c>
      <c r="F46" s="11" t="str">
        <f aca="false">IFERROR(IF(INDEX('Task Log'!$H$2:$H$500,MATCH(42,'Task Log'!$Q$2:$Q$500,0))="","",INDEX('Task Log'!$H$2:$H$500,MATCH(42,'Task Log'!$Q$2:$Q$500,0))),"")</f>
        <v/>
      </c>
      <c r="G46" s="11" t="str">
        <f aca="false">IFERROR(IF(INDEX('Task Log'!$I$2:$I$500,MATCH(42,'Task Log'!$Q$2:$Q$500,0))="","",INDEX('Task Log'!$I$2:$I$500,MATCH(42,'Task Log'!$Q$2:$Q$500,0))),"")</f>
        <v/>
      </c>
      <c r="H46" s="15" t="str">
        <f aca="false">IFERROR(IF(INDEX('Task Log'!$J$2:$J$500,MATCH(42,'Task Log'!$Q$2:$Q$500,0))="","",INDEX('Task Log'!$J$2:$J$500,MATCH(42,'Task Log'!$Q$2:$Q$500,0))),"")</f>
        <v/>
      </c>
      <c r="I46" s="5" t="str">
        <f aca="false">IFERROR(IF(INDEX('Task Log'!$O$2:$O$500,MATCH(42,'Task Log'!$Q$2:$Q$500,0))="","",INDEX('Task Log'!$O$2:$O$500,MATCH(42,'Task Log'!$Q$2:$Q$500,0))),"")</f>
        <v/>
      </c>
      <c r="J46" s="5" t="str">
        <f aca="false">IFERROR(IF(INDEX('Task Log'!$K$2:$K$500,MATCH(42,'Task Log'!$Q$2:$Q$500,0))="","",INDEX('Task Log'!$K$2:$K$500,MATCH(42,'Task Log'!$Q$2:$Q$500,0))),"")</f>
        <v/>
      </c>
      <c r="K46" s="5" t="str">
        <f aca="false">IFERROR(IF(INDEX('Task Log'!$N$2:$N$500,MATCH(42,'Task Log'!$Q$2:$Q$500,0))="","",INDEX('Task Log'!$N$2:$N$500,MATCH(42,'Task Log'!$Q$2:$Q$500,0))),"")</f>
        <v/>
      </c>
      <c r="L46" s="5" t="str">
        <f aca="false">IFERROR(IF(INDEX('Task Log'!$P$2:$P$500,MATCH(42,'Task Log'!$Q$2:$Q$500,0))="","",INDEX('Task Log'!$P$2:$P$500,MATCH(42,'Task Log'!$Q$2:$Q$500,0))),"")</f>
        <v/>
      </c>
    </row>
    <row r="47" customFormat="false" ht="15" hidden="false" customHeight="false" outlineLevel="0" collapsed="false">
      <c r="A47" s="5" t="str">
        <f aca="false">IFERROR(IF(MATCH(43,'Task Log'!$Q$2:$Q$500,0)&gt;0,43,""),"")</f>
        <v/>
      </c>
      <c r="B47" s="15" t="str">
        <f aca="false">IFERROR(IF(INDEX('Task Log'!$C$2:$C$500,MATCH(43,'Task Log'!$Q$2:$Q$500,0))="","",INDEX('Task Log'!$C$2:$C$500,MATCH(43,'Task Log'!$Q$2:$Q$500,0))),"")</f>
        <v/>
      </c>
      <c r="C47" s="15" t="str">
        <f aca="false">IFERROR(IF(INDEX('Task Log'!$D$2:$D$500,MATCH(43,'Task Log'!$Q$2:$Q$500,0))="","",INDEX('Task Log'!$D$2:$D$500,MATCH(43,'Task Log'!$Q$2:$Q$500,0))),"")</f>
        <v/>
      </c>
      <c r="D47" s="15" t="str">
        <f aca="false">IFERROR(IF(INDEX('Task Log'!$E$2:$E$500,MATCH(43,'Task Log'!$Q$2:$Q$500,0))="","",INDEX('Task Log'!$E$2:$E$500,MATCH(43,'Task Log'!$Q$2:$Q$500,0))),"")</f>
        <v/>
      </c>
      <c r="E47" s="5" t="str">
        <f aca="false">IFERROR(IF(INDEX('Task Log'!$G$2:$G$500,MATCH(43,'Task Log'!$Q$2:$Q$500,0))="","",INDEX('Task Log'!$G$2:$G$500,MATCH(43,'Task Log'!$Q$2:$Q$500,0))),"")</f>
        <v/>
      </c>
      <c r="F47" s="11" t="str">
        <f aca="false">IFERROR(IF(INDEX('Task Log'!$H$2:$H$500,MATCH(43,'Task Log'!$Q$2:$Q$500,0))="","",INDEX('Task Log'!$H$2:$H$500,MATCH(43,'Task Log'!$Q$2:$Q$500,0))),"")</f>
        <v/>
      </c>
      <c r="G47" s="11" t="str">
        <f aca="false">IFERROR(IF(INDEX('Task Log'!$I$2:$I$500,MATCH(43,'Task Log'!$Q$2:$Q$500,0))="","",INDEX('Task Log'!$I$2:$I$500,MATCH(43,'Task Log'!$Q$2:$Q$500,0))),"")</f>
        <v/>
      </c>
      <c r="H47" s="15" t="str">
        <f aca="false">IFERROR(IF(INDEX('Task Log'!$J$2:$J$500,MATCH(43,'Task Log'!$Q$2:$Q$500,0))="","",INDEX('Task Log'!$J$2:$J$500,MATCH(43,'Task Log'!$Q$2:$Q$500,0))),"")</f>
        <v/>
      </c>
      <c r="I47" s="5" t="str">
        <f aca="false">IFERROR(IF(INDEX('Task Log'!$O$2:$O$500,MATCH(43,'Task Log'!$Q$2:$Q$500,0))="","",INDEX('Task Log'!$O$2:$O$500,MATCH(43,'Task Log'!$Q$2:$Q$500,0))),"")</f>
        <v/>
      </c>
      <c r="J47" s="5" t="str">
        <f aca="false">IFERROR(IF(INDEX('Task Log'!$K$2:$K$500,MATCH(43,'Task Log'!$Q$2:$Q$500,0))="","",INDEX('Task Log'!$K$2:$K$500,MATCH(43,'Task Log'!$Q$2:$Q$500,0))),"")</f>
        <v/>
      </c>
      <c r="K47" s="5" t="str">
        <f aca="false">IFERROR(IF(INDEX('Task Log'!$N$2:$N$500,MATCH(43,'Task Log'!$Q$2:$Q$500,0))="","",INDEX('Task Log'!$N$2:$N$500,MATCH(43,'Task Log'!$Q$2:$Q$500,0))),"")</f>
        <v/>
      </c>
      <c r="L47" s="5" t="str">
        <f aca="false">IFERROR(IF(INDEX('Task Log'!$P$2:$P$500,MATCH(43,'Task Log'!$Q$2:$Q$500,0))="","",INDEX('Task Log'!$P$2:$P$500,MATCH(43,'Task Log'!$Q$2:$Q$500,0))),"")</f>
        <v/>
      </c>
    </row>
    <row r="48" customFormat="false" ht="15" hidden="false" customHeight="false" outlineLevel="0" collapsed="false">
      <c r="A48" s="5" t="str">
        <f aca="false">IFERROR(IF(MATCH(44,'Task Log'!$Q$2:$Q$500,0)&gt;0,44,""),"")</f>
        <v/>
      </c>
      <c r="B48" s="15" t="str">
        <f aca="false">IFERROR(IF(INDEX('Task Log'!$C$2:$C$500,MATCH(44,'Task Log'!$Q$2:$Q$500,0))="","",INDEX('Task Log'!$C$2:$C$500,MATCH(44,'Task Log'!$Q$2:$Q$500,0))),"")</f>
        <v/>
      </c>
      <c r="C48" s="15" t="str">
        <f aca="false">IFERROR(IF(INDEX('Task Log'!$D$2:$D$500,MATCH(44,'Task Log'!$Q$2:$Q$500,0))="","",INDEX('Task Log'!$D$2:$D$500,MATCH(44,'Task Log'!$Q$2:$Q$500,0))),"")</f>
        <v/>
      </c>
      <c r="D48" s="15" t="str">
        <f aca="false">IFERROR(IF(INDEX('Task Log'!$E$2:$E$500,MATCH(44,'Task Log'!$Q$2:$Q$500,0))="","",INDEX('Task Log'!$E$2:$E$500,MATCH(44,'Task Log'!$Q$2:$Q$500,0))),"")</f>
        <v/>
      </c>
      <c r="E48" s="5" t="str">
        <f aca="false">IFERROR(IF(INDEX('Task Log'!$G$2:$G$500,MATCH(44,'Task Log'!$Q$2:$Q$500,0))="","",INDEX('Task Log'!$G$2:$G$500,MATCH(44,'Task Log'!$Q$2:$Q$500,0))),"")</f>
        <v/>
      </c>
      <c r="F48" s="11" t="str">
        <f aca="false">IFERROR(IF(INDEX('Task Log'!$H$2:$H$500,MATCH(44,'Task Log'!$Q$2:$Q$500,0))="","",INDEX('Task Log'!$H$2:$H$500,MATCH(44,'Task Log'!$Q$2:$Q$500,0))),"")</f>
        <v/>
      </c>
      <c r="G48" s="11" t="str">
        <f aca="false">IFERROR(IF(INDEX('Task Log'!$I$2:$I$500,MATCH(44,'Task Log'!$Q$2:$Q$500,0))="","",INDEX('Task Log'!$I$2:$I$500,MATCH(44,'Task Log'!$Q$2:$Q$500,0))),"")</f>
        <v/>
      </c>
      <c r="H48" s="15" t="str">
        <f aca="false">IFERROR(IF(INDEX('Task Log'!$J$2:$J$500,MATCH(44,'Task Log'!$Q$2:$Q$500,0))="","",INDEX('Task Log'!$J$2:$J$500,MATCH(44,'Task Log'!$Q$2:$Q$500,0))),"")</f>
        <v/>
      </c>
      <c r="I48" s="5" t="str">
        <f aca="false">IFERROR(IF(INDEX('Task Log'!$O$2:$O$500,MATCH(44,'Task Log'!$Q$2:$Q$500,0))="","",INDEX('Task Log'!$O$2:$O$500,MATCH(44,'Task Log'!$Q$2:$Q$500,0))),"")</f>
        <v/>
      </c>
      <c r="J48" s="5" t="str">
        <f aca="false">IFERROR(IF(INDEX('Task Log'!$K$2:$K$500,MATCH(44,'Task Log'!$Q$2:$Q$500,0))="","",INDEX('Task Log'!$K$2:$K$500,MATCH(44,'Task Log'!$Q$2:$Q$500,0))),"")</f>
        <v/>
      </c>
      <c r="K48" s="5" t="str">
        <f aca="false">IFERROR(IF(INDEX('Task Log'!$N$2:$N$500,MATCH(44,'Task Log'!$Q$2:$Q$500,0))="","",INDEX('Task Log'!$N$2:$N$500,MATCH(44,'Task Log'!$Q$2:$Q$500,0))),"")</f>
        <v/>
      </c>
      <c r="L48" s="5" t="str">
        <f aca="false">IFERROR(IF(INDEX('Task Log'!$P$2:$P$500,MATCH(44,'Task Log'!$Q$2:$Q$500,0))="","",INDEX('Task Log'!$P$2:$P$500,MATCH(44,'Task Log'!$Q$2:$Q$500,0))),"")</f>
        <v/>
      </c>
    </row>
    <row r="49" customFormat="false" ht="15" hidden="false" customHeight="false" outlineLevel="0" collapsed="false">
      <c r="A49" s="5" t="str">
        <f aca="false">IFERROR(IF(MATCH(45,'Task Log'!$Q$2:$Q$500,0)&gt;0,45,""),"")</f>
        <v/>
      </c>
      <c r="B49" s="15" t="str">
        <f aca="false">IFERROR(IF(INDEX('Task Log'!$C$2:$C$500,MATCH(45,'Task Log'!$Q$2:$Q$500,0))="","",INDEX('Task Log'!$C$2:$C$500,MATCH(45,'Task Log'!$Q$2:$Q$500,0))),"")</f>
        <v/>
      </c>
      <c r="C49" s="15" t="str">
        <f aca="false">IFERROR(IF(INDEX('Task Log'!$D$2:$D$500,MATCH(45,'Task Log'!$Q$2:$Q$500,0))="","",INDEX('Task Log'!$D$2:$D$500,MATCH(45,'Task Log'!$Q$2:$Q$500,0))),"")</f>
        <v/>
      </c>
      <c r="D49" s="15" t="str">
        <f aca="false">IFERROR(IF(INDEX('Task Log'!$E$2:$E$500,MATCH(45,'Task Log'!$Q$2:$Q$500,0))="","",INDEX('Task Log'!$E$2:$E$500,MATCH(45,'Task Log'!$Q$2:$Q$500,0))),"")</f>
        <v/>
      </c>
      <c r="E49" s="5" t="str">
        <f aca="false">IFERROR(IF(INDEX('Task Log'!$G$2:$G$500,MATCH(45,'Task Log'!$Q$2:$Q$500,0))="","",INDEX('Task Log'!$G$2:$G$500,MATCH(45,'Task Log'!$Q$2:$Q$500,0))),"")</f>
        <v/>
      </c>
      <c r="F49" s="11" t="str">
        <f aca="false">IFERROR(IF(INDEX('Task Log'!$H$2:$H$500,MATCH(45,'Task Log'!$Q$2:$Q$500,0))="","",INDEX('Task Log'!$H$2:$H$500,MATCH(45,'Task Log'!$Q$2:$Q$500,0))),"")</f>
        <v/>
      </c>
      <c r="G49" s="11" t="str">
        <f aca="false">IFERROR(IF(INDEX('Task Log'!$I$2:$I$500,MATCH(45,'Task Log'!$Q$2:$Q$500,0))="","",INDEX('Task Log'!$I$2:$I$500,MATCH(45,'Task Log'!$Q$2:$Q$500,0))),"")</f>
        <v/>
      </c>
      <c r="H49" s="15" t="str">
        <f aca="false">IFERROR(IF(INDEX('Task Log'!$J$2:$J$500,MATCH(45,'Task Log'!$Q$2:$Q$500,0))="","",INDEX('Task Log'!$J$2:$J$500,MATCH(45,'Task Log'!$Q$2:$Q$500,0))),"")</f>
        <v/>
      </c>
      <c r="I49" s="5" t="str">
        <f aca="false">IFERROR(IF(INDEX('Task Log'!$O$2:$O$500,MATCH(45,'Task Log'!$Q$2:$Q$500,0))="","",INDEX('Task Log'!$O$2:$O$500,MATCH(45,'Task Log'!$Q$2:$Q$500,0))),"")</f>
        <v/>
      </c>
      <c r="J49" s="5" t="str">
        <f aca="false">IFERROR(IF(INDEX('Task Log'!$K$2:$K$500,MATCH(45,'Task Log'!$Q$2:$Q$500,0))="","",INDEX('Task Log'!$K$2:$K$500,MATCH(45,'Task Log'!$Q$2:$Q$500,0))),"")</f>
        <v/>
      </c>
      <c r="K49" s="5" t="str">
        <f aca="false">IFERROR(IF(INDEX('Task Log'!$N$2:$N$500,MATCH(45,'Task Log'!$Q$2:$Q$500,0))="","",INDEX('Task Log'!$N$2:$N$500,MATCH(45,'Task Log'!$Q$2:$Q$500,0))),"")</f>
        <v/>
      </c>
      <c r="L49" s="5" t="str">
        <f aca="false">IFERROR(IF(INDEX('Task Log'!$P$2:$P$500,MATCH(45,'Task Log'!$Q$2:$Q$500,0))="","",INDEX('Task Log'!$P$2:$P$500,MATCH(45,'Task Log'!$Q$2:$Q$500,0))),"")</f>
        <v/>
      </c>
    </row>
    <row r="50" customFormat="false" ht="15" hidden="false" customHeight="false" outlineLevel="0" collapsed="false">
      <c r="A50" s="5" t="str">
        <f aca="false">IFERROR(IF(MATCH(46,'Task Log'!$Q$2:$Q$500,0)&gt;0,46,""),"")</f>
        <v/>
      </c>
      <c r="B50" s="15" t="str">
        <f aca="false">IFERROR(IF(INDEX('Task Log'!$C$2:$C$500,MATCH(46,'Task Log'!$Q$2:$Q$500,0))="","",INDEX('Task Log'!$C$2:$C$500,MATCH(46,'Task Log'!$Q$2:$Q$500,0))),"")</f>
        <v/>
      </c>
      <c r="C50" s="15" t="str">
        <f aca="false">IFERROR(IF(INDEX('Task Log'!$D$2:$D$500,MATCH(46,'Task Log'!$Q$2:$Q$500,0))="","",INDEX('Task Log'!$D$2:$D$500,MATCH(46,'Task Log'!$Q$2:$Q$500,0))),"")</f>
        <v/>
      </c>
      <c r="D50" s="15" t="str">
        <f aca="false">IFERROR(IF(INDEX('Task Log'!$E$2:$E$500,MATCH(46,'Task Log'!$Q$2:$Q$500,0))="","",INDEX('Task Log'!$E$2:$E$500,MATCH(46,'Task Log'!$Q$2:$Q$500,0))),"")</f>
        <v/>
      </c>
      <c r="E50" s="5" t="str">
        <f aca="false">IFERROR(IF(INDEX('Task Log'!$G$2:$G$500,MATCH(46,'Task Log'!$Q$2:$Q$500,0))="","",INDEX('Task Log'!$G$2:$G$500,MATCH(46,'Task Log'!$Q$2:$Q$500,0))),"")</f>
        <v/>
      </c>
      <c r="F50" s="11" t="str">
        <f aca="false">IFERROR(IF(INDEX('Task Log'!$H$2:$H$500,MATCH(46,'Task Log'!$Q$2:$Q$500,0))="","",INDEX('Task Log'!$H$2:$H$500,MATCH(46,'Task Log'!$Q$2:$Q$500,0))),"")</f>
        <v/>
      </c>
      <c r="G50" s="11" t="str">
        <f aca="false">IFERROR(IF(INDEX('Task Log'!$I$2:$I$500,MATCH(46,'Task Log'!$Q$2:$Q$500,0))="","",INDEX('Task Log'!$I$2:$I$500,MATCH(46,'Task Log'!$Q$2:$Q$500,0))),"")</f>
        <v/>
      </c>
      <c r="H50" s="15" t="str">
        <f aca="false">IFERROR(IF(INDEX('Task Log'!$J$2:$J$500,MATCH(46,'Task Log'!$Q$2:$Q$500,0))="","",INDEX('Task Log'!$J$2:$J$500,MATCH(46,'Task Log'!$Q$2:$Q$500,0))),"")</f>
        <v/>
      </c>
      <c r="I50" s="5" t="str">
        <f aca="false">IFERROR(IF(INDEX('Task Log'!$O$2:$O$500,MATCH(46,'Task Log'!$Q$2:$Q$500,0))="","",INDEX('Task Log'!$O$2:$O$500,MATCH(46,'Task Log'!$Q$2:$Q$500,0))),"")</f>
        <v/>
      </c>
      <c r="J50" s="5" t="str">
        <f aca="false">IFERROR(IF(INDEX('Task Log'!$K$2:$K$500,MATCH(46,'Task Log'!$Q$2:$Q$500,0))="","",INDEX('Task Log'!$K$2:$K$500,MATCH(46,'Task Log'!$Q$2:$Q$500,0))),"")</f>
        <v/>
      </c>
      <c r="K50" s="5" t="str">
        <f aca="false">IFERROR(IF(INDEX('Task Log'!$N$2:$N$500,MATCH(46,'Task Log'!$Q$2:$Q$500,0))="","",INDEX('Task Log'!$N$2:$N$500,MATCH(46,'Task Log'!$Q$2:$Q$500,0))),"")</f>
        <v/>
      </c>
      <c r="L50" s="5" t="str">
        <f aca="false">IFERROR(IF(INDEX('Task Log'!$P$2:$P$500,MATCH(46,'Task Log'!$Q$2:$Q$500,0))="","",INDEX('Task Log'!$P$2:$P$500,MATCH(46,'Task Log'!$Q$2:$Q$500,0))),"")</f>
        <v/>
      </c>
    </row>
    <row r="51" customFormat="false" ht="15" hidden="false" customHeight="false" outlineLevel="0" collapsed="false">
      <c r="A51" s="5" t="str">
        <f aca="false">IFERROR(IF(MATCH(47,'Task Log'!$Q$2:$Q$500,0)&gt;0,47,""),"")</f>
        <v/>
      </c>
      <c r="B51" s="15" t="str">
        <f aca="false">IFERROR(IF(INDEX('Task Log'!$C$2:$C$500,MATCH(47,'Task Log'!$Q$2:$Q$500,0))="","",INDEX('Task Log'!$C$2:$C$500,MATCH(47,'Task Log'!$Q$2:$Q$500,0))),"")</f>
        <v/>
      </c>
      <c r="C51" s="15" t="str">
        <f aca="false">IFERROR(IF(INDEX('Task Log'!$D$2:$D$500,MATCH(47,'Task Log'!$Q$2:$Q$500,0))="","",INDEX('Task Log'!$D$2:$D$500,MATCH(47,'Task Log'!$Q$2:$Q$500,0))),"")</f>
        <v/>
      </c>
      <c r="D51" s="15" t="str">
        <f aca="false">IFERROR(IF(INDEX('Task Log'!$E$2:$E$500,MATCH(47,'Task Log'!$Q$2:$Q$500,0))="","",INDEX('Task Log'!$E$2:$E$500,MATCH(47,'Task Log'!$Q$2:$Q$500,0))),"")</f>
        <v/>
      </c>
      <c r="E51" s="5" t="str">
        <f aca="false">IFERROR(IF(INDEX('Task Log'!$G$2:$G$500,MATCH(47,'Task Log'!$Q$2:$Q$500,0))="","",INDEX('Task Log'!$G$2:$G$500,MATCH(47,'Task Log'!$Q$2:$Q$500,0))),"")</f>
        <v/>
      </c>
      <c r="F51" s="11" t="str">
        <f aca="false">IFERROR(IF(INDEX('Task Log'!$H$2:$H$500,MATCH(47,'Task Log'!$Q$2:$Q$500,0))="","",INDEX('Task Log'!$H$2:$H$500,MATCH(47,'Task Log'!$Q$2:$Q$500,0))),"")</f>
        <v/>
      </c>
      <c r="G51" s="11" t="str">
        <f aca="false">IFERROR(IF(INDEX('Task Log'!$I$2:$I$500,MATCH(47,'Task Log'!$Q$2:$Q$500,0))="","",INDEX('Task Log'!$I$2:$I$500,MATCH(47,'Task Log'!$Q$2:$Q$500,0))),"")</f>
        <v/>
      </c>
      <c r="H51" s="15" t="str">
        <f aca="false">IFERROR(IF(INDEX('Task Log'!$J$2:$J$500,MATCH(47,'Task Log'!$Q$2:$Q$500,0))="","",INDEX('Task Log'!$J$2:$J$500,MATCH(47,'Task Log'!$Q$2:$Q$500,0))),"")</f>
        <v/>
      </c>
      <c r="I51" s="5" t="str">
        <f aca="false">IFERROR(IF(INDEX('Task Log'!$O$2:$O$500,MATCH(47,'Task Log'!$Q$2:$Q$500,0))="","",INDEX('Task Log'!$O$2:$O$500,MATCH(47,'Task Log'!$Q$2:$Q$500,0))),"")</f>
        <v/>
      </c>
      <c r="J51" s="5" t="str">
        <f aca="false">IFERROR(IF(INDEX('Task Log'!$K$2:$K$500,MATCH(47,'Task Log'!$Q$2:$Q$500,0))="","",INDEX('Task Log'!$K$2:$K$500,MATCH(47,'Task Log'!$Q$2:$Q$500,0))),"")</f>
        <v/>
      </c>
      <c r="K51" s="5" t="str">
        <f aca="false">IFERROR(IF(INDEX('Task Log'!$N$2:$N$500,MATCH(47,'Task Log'!$Q$2:$Q$500,0))="","",INDEX('Task Log'!$N$2:$N$500,MATCH(47,'Task Log'!$Q$2:$Q$500,0))),"")</f>
        <v/>
      </c>
      <c r="L51" s="5" t="str">
        <f aca="false">IFERROR(IF(INDEX('Task Log'!$P$2:$P$500,MATCH(47,'Task Log'!$Q$2:$Q$500,0))="","",INDEX('Task Log'!$P$2:$P$500,MATCH(47,'Task Log'!$Q$2:$Q$500,0))),"")</f>
        <v/>
      </c>
    </row>
    <row r="52" customFormat="false" ht="15" hidden="false" customHeight="false" outlineLevel="0" collapsed="false">
      <c r="A52" s="5" t="str">
        <f aca="false">IFERROR(IF(MATCH(48,'Task Log'!$Q$2:$Q$500,0)&gt;0,48,""),"")</f>
        <v/>
      </c>
      <c r="B52" s="15" t="str">
        <f aca="false">IFERROR(IF(INDEX('Task Log'!$C$2:$C$500,MATCH(48,'Task Log'!$Q$2:$Q$500,0))="","",INDEX('Task Log'!$C$2:$C$500,MATCH(48,'Task Log'!$Q$2:$Q$500,0))),"")</f>
        <v/>
      </c>
      <c r="C52" s="15" t="str">
        <f aca="false">IFERROR(IF(INDEX('Task Log'!$D$2:$D$500,MATCH(48,'Task Log'!$Q$2:$Q$500,0))="","",INDEX('Task Log'!$D$2:$D$500,MATCH(48,'Task Log'!$Q$2:$Q$500,0))),"")</f>
        <v/>
      </c>
      <c r="D52" s="15" t="str">
        <f aca="false">IFERROR(IF(INDEX('Task Log'!$E$2:$E$500,MATCH(48,'Task Log'!$Q$2:$Q$500,0))="","",INDEX('Task Log'!$E$2:$E$500,MATCH(48,'Task Log'!$Q$2:$Q$500,0))),"")</f>
        <v/>
      </c>
      <c r="E52" s="5" t="str">
        <f aca="false">IFERROR(IF(INDEX('Task Log'!$G$2:$G$500,MATCH(48,'Task Log'!$Q$2:$Q$500,0))="","",INDEX('Task Log'!$G$2:$G$500,MATCH(48,'Task Log'!$Q$2:$Q$500,0))),"")</f>
        <v/>
      </c>
      <c r="F52" s="11" t="str">
        <f aca="false">IFERROR(IF(INDEX('Task Log'!$H$2:$H$500,MATCH(48,'Task Log'!$Q$2:$Q$500,0))="","",INDEX('Task Log'!$H$2:$H$500,MATCH(48,'Task Log'!$Q$2:$Q$500,0))),"")</f>
        <v/>
      </c>
      <c r="G52" s="11" t="str">
        <f aca="false">IFERROR(IF(INDEX('Task Log'!$I$2:$I$500,MATCH(48,'Task Log'!$Q$2:$Q$500,0))="","",INDEX('Task Log'!$I$2:$I$500,MATCH(48,'Task Log'!$Q$2:$Q$500,0))),"")</f>
        <v/>
      </c>
      <c r="H52" s="15" t="str">
        <f aca="false">IFERROR(IF(INDEX('Task Log'!$J$2:$J$500,MATCH(48,'Task Log'!$Q$2:$Q$500,0))="","",INDEX('Task Log'!$J$2:$J$500,MATCH(48,'Task Log'!$Q$2:$Q$500,0))),"")</f>
        <v/>
      </c>
      <c r="I52" s="5" t="str">
        <f aca="false">IFERROR(IF(INDEX('Task Log'!$O$2:$O$500,MATCH(48,'Task Log'!$Q$2:$Q$500,0))="","",INDEX('Task Log'!$O$2:$O$500,MATCH(48,'Task Log'!$Q$2:$Q$500,0))),"")</f>
        <v/>
      </c>
      <c r="J52" s="5" t="str">
        <f aca="false">IFERROR(IF(INDEX('Task Log'!$K$2:$K$500,MATCH(48,'Task Log'!$Q$2:$Q$500,0))="","",INDEX('Task Log'!$K$2:$K$500,MATCH(48,'Task Log'!$Q$2:$Q$500,0))),"")</f>
        <v/>
      </c>
      <c r="K52" s="5" t="str">
        <f aca="false">IFERROR(IF(INDEX('Task Log'!$N$2:$N$500,MATCH(48,'Task Log'!$Q$2:$Q$500,0))="","",INDEX('Task Log'!$N$2:$N$500,MATCH(48,'Task Log'!$Q$2:$Q$500,0))),"")</f>
        <v/>
      </c>
      <c r="L52" s="5" t="str">
        <f aca="false">IFERROR(IF(INDEX('Task Log'!$P$2:$P$500,MATCH(48,'Task Log'!$Q$2:$Q$500,0))="","",INDEX('Task Log'!$P$2:$P$500,MATCH(48,'Task Log'!$Q$2:$Q$500,0))),"")</f>
        <v/>
      </c>
    </row>
    <row r="53" customFormat="false" ht="15" hidden="false" customHeight="false" outlineLevel="0" collapsed="false">
      <c r="A53" s="5" t="str">
        <f aca="false">IFERROR(IF(MATCH(49,'Task Log'!$Q$2:$Q$500,0)&gt;0,49,""),"")</f>
        <v/>
      </c>
      <c r="B53" s="15" t="str">
        <f aca="false">IFERROR(IF(INDEX('Task Log'!$C$2:$C$500,MATCH(49,'Task Log'!$Q$2:$Q$500,0))="","",INDEX('Task Log'!$C$2:$C$500,MATCH(49,'Task Log'!$Q$2:$Q$500,0))),"")</f>
        <v/>
      </c>
      <c r="C53" s="15" t="str">
        <f aca="false">IFERROR(IF(INDEX('Task Log'!$D$2:$D$500,MATCH(49,'Task Log'!$Q$2:$Q$500,0))="","",INDEX('Task Log'!$D$2:$D$500,MATCH(49,'Task Log'!$Q$2:$Q$500,0))),"")</f>
        <v/>
      </c>
      <c r="D53" s="15" t="str">
        <f aca="false">IFERROR(IF(INDEX('Task Log'!$E$2:$E$500,MATCH(49,'Task Log'!$Q$2:$Q$500,0))="","",INDEX('Task Log'!$E$2:$E$500,MATCH(49,'Task Log'!$Q$2:$Q$500,0))),"")</f>
        <v/>
      </c>
      <c r="E53" s="5" t="str">
        <f aca="false">IFERROR(IF(INDEX('Task Log'!$G$2:$G$500,MATCH(49,'Task Log'!$Q$2:$Q$500,0))="","",INDEX('Task Log'!$G$2:$G$500,MATCH(49,'Task Log'!$Q$2:$Q$500,0))),"")</f>
        <v/>
      </c>
      <c r="F53" s="11" t="str">
        <f aca="false">IFERROR(IF(INDEX('Task Log'!$H$2:$H$500,MATCH(49,'Task Log'!$Q$2:$Q$500,0))="","",INDEX('Task Log'!$H$2:$H$500,MATCH(49,'Task Log'!$Q$2:$Q$500,0))),"")</f>
        <v/>
      </c>
      <c r="G53" s="11" t="str">
        <f aca="false">IFERROR(IF(INDEX('Task Log'!$I$2:$I$500,MATCH(49,'Task Log'!$Q$2:$Q$500,0))="","",INDEX('Task Log'!$I$2:$I$500,MATCH(49,'Task Log'!$Q$2:$Q$500,0))),"")</f>
        <v/>
      </c>
      <c r="H53" s="15" t="str">
        <f aca="false">IFERROR(IF(INDEX('Task Log'!$J$2:$J$500,MATCH(49,'Task Log'!$Q$2:$Q$500,0))="","",INDEX('Task Log'!$J$2:$J$500,MATCH(49,'Task Log'!$Q$2:$Q$500,0))),"")</f>
        <v/>
      </c>
      <c r="I53" s="5" t="str">
        <f aca="false">IFERROR(IF(INDEX('Task Log'!$O$2:$O$500,MATCH(49,'Task Log'!$Q$2:$Q$500,0))="","",INDEX('Task Log'!$O$2:$O$500,MATCH(49,'Task Log'!$Q$2:$Q$500,0))),"")</f>
        <v/>
      </c>
      <c r="J53" s="5" t="str">
        <f aca="false">IFERROR(IF(INDEX('Task Log'!$K$2:$K$500,MATCH(49,'Task Log'!$Q$2:$Q$500,0))="","",INDEX('Task Log'!$K$2:$K$500,MATCH(49,'Task Log'!$Q$2:$Q$500,0))),"")</f>
        <v/>
      </c>
      <c r="K53" s="5" t="str">
        <f aca="false">IFERROR(IF(INDEX('Task Log'!$N$2:$N$500,MATCH(49,'Task Log'!$Q$2:$Q$500,0))="","",INDEX('Task Log'!$N$2:$N$500,MATCH(49,'Task Log'!$Q$2:$Q$500,0))),"")</f>
        <v/>
      </c>
      <c r="L53" s="5" t="str">
        <f aca="false">IFERROR(IF(INDEX('Task Log'!$P$2:$P$500,MATCH(49,'Task Log'!$Q$2:$Q$500,0))="","",INDEX('Task Log'!$P$2:$P$500,MATCH(49,'Task Log'!$Q$2:$Q$500,0))),"")</f>
        <v/>
      </c>
    </row>
    <row r="54" customFormat="false" ht="15" hidden="false" customHeight="false" outlineLevel="0" collapsed="false">
      <c r="A54" s="5" t="str">
        <f aca="false">IFERROR(IF(MATCH(50,'Task Log'!$Q$2:$Q$500,0)&gt;0,50,""),"")</f>
        <v/>
      </c>
      <c r="B54" s="15" t="str">
        <f aca="false">IFERROR(IF(INDEX('Task Log'!$C$2:$C$500,MATCH(50,'Task Log'!$Q$2:$Q$500,0))="","",INDEX('Task Log'!$C$2:$C$500,MATCH(50,'Task Log'!$Q$2:$Q$500,0))),"")</f>
        <v/>
      </c>
      <c r="C54" s="15" t="str">
        <f aca="false">IFERROR(IF(INDEX('Task Log'!$D$2:$D$500,MATCH(50,'Task Log'!$Q$2:$Q$500,0))="","",INDEX('Task Log'!$D$2:$D$500,MATCH(50,'Task Log'!$Q$2:$Q$500,0))),"")</f>
        <v/>
      </c>
      <c r="D54" s="15" t="str">
        <f aca="false">IFERROR(IF(INDEX('Task Log'!$E$2:$E$500,MATCH(50,'Task Log'!$Q$2:$Q$500,0))="","",INDEX('Task Log'!$E$2:$E$500,MATCH(50,'Task Log'!$Q$2:$Q$500,0))),"")</f>
        <v/>
      </c>
      <c r="E54" s="5" t="str">
        <f aca="false">IFERROR(IF(INDEX('Task Log'!$G$2:$G$500,MATCH(50,'Task Log'!$Q$2:$Q$500,0))="","",INDEX('Task Log'!$G$2:$G$500,MATCH(50,'Task Log'!$Q$2:$Q$500,0))),"")</f>
        <v/>
      </c>
      <c r="F54" s="11" t="str">
        <f aca="false">IFERROR(IF(INDEX('Task Log'!$H$2:$H$500,MATCH(50,'Task Log'!$Q$2:$Q$500,0))="","",INDEX('Task Log'!$H$2:$H$500,MATCH(50,'Task Log'!$Q$2:$Q$500,0))),"")</f>
        <v/>
      </c>
      <c r="G54" s="11" t="str">
        <f aca="false">IFERROR(IF(INDEX('Task Log'!$I$2:$I$500,MATCH(50,'Task Log'!$Q$2:$Q$500,0))="","",INDEX('Task Log'!$I$2:$I$500,MATCH(50,'Task Log'!$Q$2:$Q$500,0))),"")</f>
        <v/>
      </c>
      <c r="H54" s="15" t="str">
        <f aca="false">IFERROR(IF(INDEX('Task Log'!$J$2:$J$500,MATCH(50,'Task Log'!$Q$2:$Q$500,0))="","",INDEX('Task Log'!$J$2:$J$500,MATCH(50,'Task Log'!$Q$2:$Q$500,0))),"")</f>
        <v/>
      </c>
      <c r="I54" s="5" t="str">
        <f aca="false">IFERROR(IF(INDEX('Task Log'!$O$2:$O$500,MATCH(50,'Task Log'!$Q$2:$Q$500,0))="","",INDEX('Task Log'!$O$2:$O$500,MATCH(50,'Task Log'!$Q$2:$Q$500,0))),"")</f>
        <v/>
      </c>
      <c r="J54" s="5" t="str">
        <f aca="false">IFERROR(IF(INDEX('Task Log'!$K$2:$K$500,MATCH(50,'Task Log'!$Q$2:$Q$500,0))="","",INDEX('Task Log'!$K$2:$K$500,MATCH(50,'Task Log'!$Q$2:$Q$500,0))),"")</f>
        <v/>
      </c>
      <c r="K54" s="5" t="str">
        <f aca="false">IFERROR(IF(INDEX('Task Log'!$N$2:$N$500,MATCH(50,'Task Log'!$Q$2:$Q$500,0))="","",INDEX('Task Log'!$N$2:$N$500,MATCH(50,'Task Log'!$Q$2:$Q$500,0))),"")</f>
        <v/>
      </c>
      <c r="L54" s="5" t="str">
        <f aca="false">IFERROR(IF(INDEX('Task Log'!$P$2:$P$500,MATCH(50,'Task Log'!$Q$2:$Q$500,0))="","",INDEX('Task Log'!$P$2:$P$500,MATCH(50,'Task Log'!$Q$2:$Q$500,0))),"")</f>
        <v/>
      </c>
    </row>
    <row r="55" customFormat="false" ht="15" hidden="false" customHeight="false" outlineLevel="0" collapsed="false">
      <c r="A55" s="5" t="str">
        <f aca="false">IFERROR(IF(MATCH(51,'Task Log'!$Q$2:$Q$500,0)&gt;0,51,""),"")</f>
        <v/>
      </c>
      <c r="B55" s="15" t="str">
        <f aca="false">IFERROR(IF(INDEX('Task Log'!$C$2:$C$500,MATCH(51,'Task Log'!$Q$2:$Q$500,0))="","",INDEX('Task Log'!$C$2:$C$500,MATCH(51,'Task Log'!$Q$2:$Q$500,0))),"")</f>
        <v/>
      </c>
      <c r="C55" s="15" t="str">
        <f aca="false">IFERROR(IF(INDEX('Task Log'!$D$2:$D$500,MATCH(51,'Task Log'!$Q$2:$Q$500,0))="","",INDEX('Task Log'!$D$2:$D$500,MATCH(51,'Task Log'!$Q$2:$Q$500,0))),"")</f>
        <v/>
      </c>
      <c r="D55" s="15" t="str">
        <f aca="false">IFERROR(IF(INDEX('Task Log'!$E$2:$E$500,MATCH(51,'Task Log'!$Q$2:$Q$500,0))="","",INDEX('Task Log'!$E$2:$E$500,MATCH(51,'Task Log'!$Q$2:$Q$500,0))),"")</f>
        <v/>
      </c>
      <c r="E55" s="5" t="str">
        <f aca="false">IFERROR(IF(INDEX('Task Log'!$G$2:$G$500,MATCH(51,'Task Log'!$Q$2:$Q$500,0))="","",INDEX('Task Log'!$G$2:$G$500,MATCH(51,'Task Log'!$Q$2:$Q$500,0))),"")</f>
        <v/>
      </c>
      <c r="F55" s="11" t="str">
        <f aca="false">IFERROR(IF(INDEX('Task Log'!$H$2:$H$500,MATCH(51,'Task Log'!$Q$2:$Q$500,0))="","",INDEX('Task Log'!$H$2:$H$500,MATCH(51,'Task Log'!$Q$2:$Q$500,0))),"")</f>
        <v/>
      </c>
      <c r="G55" s="11" t="str">
        <f aca="false">IFERROR(IF(INDEX('Task Log'!$I$2:$I$500,MATCH(51,'Task Log'!$Q$2:$Q$500,0))="","",INDEX('Task Log'!$I$2:$I$500,MATCH(51,'Task Log'!$Q$2:$Q$500,0))),"")</f>
        <v/>
      </c>
      <c r="H55" s="15" t="str">
        <f aca="false">IFERROR(IF(INDEX('Task Log'!$J$2:$J$500,MATCH(51,'Task Log'!$Q$2:$Q$500,0))="","",INDEX('Task Log'!$J$2:$J$500,MATCH(51,'Task Log'!$Q$2:$Q$500,0))),"")</f>
        <v/>
      </c>
      <c r="I55" s="5" t="str">
        <f aca="false">IFERROR(IF(INDEX('Task Log'!$O$2:$O$500,MATCH(51,'Task Log'!$Q$2:$Q$500,0))="","",INDEX('Task Log'!$O$2:$O$500,MATCH(51,'Task Log'!$Q$2:$Q$500,0))),"")</f>
        <v/>
      </c>
      <c r="J55" s="5" t="str">
        <f aca="false">IFERROR(IF(INDEX('Task Log'!$K$2:$K$500,MATCH(51,'Task Log'!$Q$2:$Q$500,0))="","",INDEX('Task Log'!$K$2:$K$500,MATCH(51,'Task Log'!$Q$2:$Q$500,0))),"")</f>
        <v/>
      </c>
      <c r="K55" s="5" t="str">
        <f aca="false">IFERROR(IF(INDEX('Task Log'!$N$2:$N$500,MATCH(51,'Task Log'!$Q$2:$Q$500,0))="","",INDEX('Task Log'!$N$2:$N$500,MATCH(51,'Task Log'!$Q$2:$Q$500,0))),"")</f>
        <v/>
      </c>
      <c r="L55" s="5" t="str">
        <f aca="false">IFERROR(IF(INDEX('Task Log'!$P$2:$P$500,MATCH(51,'Task Log'!$Q$2:$Q$500,0))="","",INDEX('Task Log'!$P$2:$P$500,MATCH(51,'Task Log'!$Q$2:$Q$500,0))),"")</f>
        <v/>
      </c>
    </row>
    <row r="56" customFormat="false" ht="15" hidden="false" customHeight="false" outlineLevel="0" collapsed="false">
      <c r="A56" s="5" t="str">
        <f aca="false">IFERROR(IF(MATCH(52,'Task Log'!$Q$2:$Q$500,0)&gt;0,52,""),"")</f>
        <v/>
      </c>
      <c r="B56" s="15" t="str">
        <f aca="false">IFERROR(IF(INDEX('Task Log'!$C$2:$C$500,MATCH(52,'Task Log'!$Q$2:$Q$500,0))="","",INDEX('Task Log'!$C$2:$C$500,MATCH(52,'Task Log'!$Q$2:$Q$500,0))),"")</f>
        <v/>
      </c>
      <c r="C56" s="15" t="str">
        <f aca="false">IFERROR(IF(INDEX('Task Log'!$D$2:$D$500,MATCH(52,'Task Log'!$Q$2:$Q$500,0))="","",INDEX('Task Log'!$D$2:$D$500,MATCH(52,'Task Log'!$Q$2:$Q$500,0))),"")</f>
        <v/>
      </c>
      <c r="D56" s="15" t="str">
        <f aca="false">IFERROR(IF(INDEX('Task Log'!$E$2:$E$500,MATCH(52,'Task Log'!$Q$2:$Q$500,0))="","",INDEX('Task Log'!$E$2:$E$500,MATCH(52,'Task Log'!$Q$2:$Q$500,0))),"")</f>
        <v/>
      </c>
      <c r="E56" s="5" t="str">
        <f aca="false">IFERROR(IF(INDEX('Task Log'!$G$2:$G$500,MATCH(52,'Task Log'!$Q$2:$Q$500,0))="","",INDEX('Task Log'!$G$2:$G$500,MATCH(52,'Task Log'!$Q$2:$Q$500,0))),"")</f>
        <v/>
      </c>
      <c r="F56" s="11" t="str">
        <f aca="false">IFERROR(IF(INDEX('Task Log'!$H$2:$H$500,MATCH(52,'Task Log'!$Q$2:$Q$500,0))="","",INDEX('Task Log'!$H$2:$H$500,MATCH(52,'Task Log'!$Q$2:$Q$500,0))),"")</f>
        <v/>
      </c>
      <c r="G56" s="11" t="str">
        <f aca="false">IFERROR(IF(INDEX('Task Log'!$I$2:$I$500,MATCH(52,'Task Log'!$Q$2:$Q$500,0))="","",INDEX('Task Log'!$I$2:$I$500,MATCH(52,'Task Log'!$Q$2:$Q$500,0))),"")</f>
        <v/>
      </c>
      <c r="H56" s="15" t="str">
        <f aca="false">IFERROR(IF(INDEX('Task Log'!$J$2:$J$500,MATCH(52,'Task Log'!$Q$2:$Q$500,0))="","",INDEX('Task Log'!$J$2:$J$500,MATCH(52,'Task Log'!$Q$2:$Q$500,0))),"")</f>
        <v/>
      </c>
      <c r="I56" s="5" t="str">
        <f aca="false">IFERROR(IF(INDEX('Task Log'!$O$2:$O$500,MATCH(52,'Task Log'!$Q$2:$Q$500,0))="","",INDEX('Task Log'!$O$2:$O$500,MATCH(52,'Task Log'!$Q$2:$Q$500,0))),"")</f>
        <v/>
      </c>
      <c r="J56" s="5" t="str">
        <f aca="false">IFERROR(IF(INDEX('Task Log'!$K$2:$K$500,MATCH(52,'Task Log'!$Q$2:$Q$500,0))="","",INDEX('Task Log'!$K$2:$K$500,MATCH(52,'Task Log'!$Q$2:$Q$500,0))),"")</f>
        <v/>
      </c>
      <c r="K56" s="5" t="str">
        <f aca="false">IFERROR(IF(INDEX('Task Log'!$N$2:$N$500,MATCH(52,'Task Log'!$Q$2:$Q$500,0))="","",INDEX('Task Log'!$N$2:$N$500,MATCH(52,'Task Log'!$Q$2:$Q$500,0))),"")</f>
        <v/>
      </c>
      <c r="L56" s="5" t="str">
        <f aca="false">IFERROR(IF(INDEX('Task Log'!$P$2:$P$500,MATCH(52,'Task Log'!$Q$2:$Q$500,0))="","",INDEX('Task Log'!$P$2:$P$500,MATCH(52,'Task Log'!$Q$2:$Q$500,0))),"")</f>
        <v/>
      </c>
    </row>
    <row r="57" customFormat="false" ht="15" hidden="false" customHeight="false" outlineLevel="0" collapsed="false">
      <c r="A57" s="5" t="str">
        <f aca="false">IFERROR(IF(MATCH(53,'Task Log'!$Q$2:$Q$500,0)&gt;0,53,""),"")</f>
        <v/>
      </c>
      <c r="B57" s="15" t="str">
        <f aca="false">IFERROR(IF(INDEX('Task Log'!$C$2:$C$500,MATCH(53,'Task Log'!$Q$2:$Q$500,0))="","",INDEX('Task Log'!$C$2:$C$500,MATCH(53,'Task Log'!$Q$2:$Q$500,0))),"")</f>
        <v/>
      </c>
      <c r="C57" s="15" t="str">
        <f aca="false">IFERROR(IF(INDEX('Task Log'!$D$2:$D$500,MATCH(53,'Task Log'!$Q$2:$Q$500,0))="","",INDEX('Task Log'!$D$2:$D$500,MATCH(53,'Task Log'!$Q$2:$Q$500,0))),"")</f>
        <v/>
      </c>
      <c r="D57" s="15" t="str">
        <f aca="false">IFERROR(IF(INDEX('Task Log'!$E$2:$E$500,MATCH(53,'Task Log'!$Q$2:$Q$500,0))="","",INDEX('Task Log'!$E$2:$E$500,MATCH(53,'Task Log'!$Q$2:$Q$500,0))),"")</f>
        <v/>
      </c>
      <c r="E57" s="5" t="str">
        <f aca="false">IFERROR(IF(INDEX('Task Log'!$G$2:$G$500,MATCH(53,'Task Log'!$Q$2:$Q$500,0))="","",INDEX('Task Log'!$G$2:$G$500,MATCH(53,'Task Log'!$Q$2:$Q$500,0))),"")</f>
        <v/>
      </c>
      <c r="F57" s="11" t="str">
        <f aca="false">IFERROR(IF(INDEX('Task Log'!$H$2:$H$500,MATCH(53,'Task Log'!$Q$2:$Q$500,0))="","",INDEX('Task Log'!$H$2:$H$500,MATCH(53,'Task Log'!$Q$2:$Q$500,0))),"")</f>
        <v/>
      </c>
      <c r="G57" s="11" t="str">
        <f aca="false">IFERROR(IF(INDEX('Task Log'!$I$2:$I$500,MATCH(53,'Task Log'!$Q$2:$Q$500,0))="","",INDEX('Task Log'!$I$2:$I$500,MATCH(53,'Task Log'!$Q$2:$Q$500,0))),"")</f>
        <v/>
      </c>
      <c r="H57" s="15" t="str">
        <f aca="false">IFERROR(IF(INDEX('Task Log'!$J$2:$J$500,MATCH(53,'Task Log'!$Q$2:$Q$500,0))="","",INDEX('Task Log'!$J$2:$J$500,MATCH(53,'Task Log'!$Q$2:$Q$500,0))),"")</f>
        <v/>
      </c>
      <c r="I57" s="5" t="str">
        <f aca="false">IFERROR(IF(INDEX('Task Log'!$O$2:$O$500,MATCH(53,'Task Log'!$Q$2:$Q$500,0))="","",INDEX('Task Log'!$O$2:$O$500,MATCH(53,'Task Log'!$Q$2:$Q$500,0))),"")</f>
        <v/>
      </c>
      <c r="J57" s="5" t="str">
        <f aca="false">IFERROR(IF(INDEX('Task Log'!$K$2:$K$500,MATCH(53,'Task Log'!$Q$2:$Q$500,0))="","",INDEX('Task Log'!$K$2:$K$500,MATCH(53,'Task Log'!$Q$2:$Q$500,0))),"")</f>
        <v/>
      </c>
      <c r="K57" s="5" t="str">
        <f aca="false">IFERROR(IF(INDEX('Task Log'!$N$2:$N$500,MATCH(53,'Task Log'!$Q$2:$Q$500,0))="","",INDEX('Task Log'!$N$2:$N$500,MATCH(53,'Task Log'!$Q$2:$Q$500,0))),"")</f>
        <v/>
      </c>
      <c r="L57" s="5" t="str">
        <f aca="false">IFERROR(IF(INDEX('Task Log'!$P$2:$P$500,MATCH(53,'Task Log'!$Q$2:$Q$500,0))="","",INDEX('Task Log'!$P$2:$P$500,MATCH(53,'Task Log'!$Q$2:$Q$500,0))),"")</f>
        <v/>
      </c>
    </row>
    <row r="58" customFormat="false" ht="15" hidden="false" customHeight="false" outlineLevel="0" collapsed="false">
      <c r="A58" s="5" t="str">
        <f aca="false">IFERROR(IF(MATCH(54,'Task Log'!$Q$2:$Q$500,0)&gt;0,54,""),"")</f>
        <v/>
      </c>
      <c r="B58" s="15" t="str">
        <f aca="false">IFERROR(IF(INDEX('Task Log'!$C$2:$C$500,MATCH(54,'Task Log'!$Q$2:$Q$500,0))="","",INDEX('Task Log'!$C$2:$C$500,MATCH(54,'Task Log'!$Q$2:$Q$500,0))),"")</f>
        <v/>
      </c>
      <c r="C58" s="15" t="str">
        <f aca="false">IFERROR(IF(INDEX('Task Log'!$D$2:$D$500,MATCH(54,'Task Log'!$Q$2:$Q$500,0))="","",INDEX('Task Log'!$D$2:$D$500,MATCH(54,'Task Log'!$Q$2:$Q$500,0))),"")</f>
        <v/>
      </c>
      <c r="D58" s="15" t="str">
        <f aca="false">IFERROR(IF(INDEX('Task Log'!$E$2:$E$500,MATCH(54,'Task Log'!$Q$2:$Q$500,0))="","",INDEX('Task Log'!$E$2:$E$500,MATCH(54,'Task Log'!$Q$2:$Q$500,0))),"")</f>
        <v/>
      </c>
      <c r="E58" s="5" t="str">
        <f aca="false">IFERROR(IF(INDEX('Task Log'!$G$2:$G$500,MATCH(54,'Task Log'!$Q$2:$Q$500,0))="","",INDEX('Task Log'!$G$2:$G$500,MATCH(54,'Task Log'!$Q$2:$Q$500,0))),"")</f>
        <v/>
      </c>
      <c r="F58" s="11" t="str">
        <f aca="false">IFERROR(IF(INDEX('Task Log'!$H$2:$H$500,MATCH(54,'Task Log'!$Q$2:$Q$500,0))="","",INDEX('Task Log'!$H$2:$H$500,MATCH(54,'Task Log'!$Q$2:$Q$500,0))),"")</f>
        <v/>
      </c>
      <c r="G58" s="11" t="str">
        <f aca="false">IFERROR(IF(INDEX('Task Log'!$I$2:$I$500,MATCH(54,'Task Log'!$Q$2:$Q$500,0))="","",INDEX('Task Log'!$I$2:$I$500,MATCH(54,'Task Log'!$Q$2:$Q$500,0))),"")</f>
        <v/>
      </c>
      <c r="H58" s="15" t="str">
        <f aca="false">IFERROR(IF(INDEX('Task Log'!$J$2:$J$500,MATCH(54,'Task Log'!$Q$2:$Q$500,0))="","",INDEX('Task Log'!$J$2:$J$500,MATCH(54,'Task Log'!$Q$2:$Q$500,0))),"")</f>
        <v/>
      </c>
      <c r="I58" s="5" t="str">
        <f aca="false">IFERROR(IF(INDEX('Task Log'!$O$2:$O$500,MATCH(54,'Task Log'!$Q$2:$Q$500,0))="","",INDEX('Task Log'!$O$2:$O$500,MATCH(54,'Task Log'!$Q$2:$Q$500,0))),"")</f>
        <v/>
      </c>
      <c r="J58" s="5" t="str">
        <f aca="false">IFERROR(IF(INDEX('Task Log'!$K$2:$K$500,MATCH(54,'Task Log'!$Q$2:$Q$500,0))="","",INDEX('Task Log'!$K$2:$K$500,MATCH(54,'Task Log'!$Q$2:$Q$500,0))),"")</f>
        <v/>
      </c>
      <c r="K58" s="5" t="str">
        <f aca="false">IFERROR(IF(INDEX('Task Log'!$N$2:$N$500,MATCH(54,'Task Log'!$Q$2:$Q$500,0))="","",INDEX('Task Log'!$N$2:$N$500,MATCH(54,'Task Log'!$Q$2:$Q$500,0))),"")</f>
        <v/>
      </c>
      <c r="L58" s="5" t="str">
        <f aca="false">IFERROR(IF(INDEX('Task Log'!$P$2:$P$500,MATCH(54,'Task Log'!$Q$2:$Q$500,0))="","",INDEX('Task Log'!$P$2:$P$500,MATCH(54,'Task Log'!$Q$2:$Q$500,0))),"")</f>
        <v/>
      </c>
    </row>
    <row r="59" customFormat="false" ht="15" hidden="false" customHeight="false" outlineLevel="0" collapsed="false">
      <c r="A59" s="5" t="str">
        <f aca="false">IFERROR(IF(MATCH(55,'Task Log'!$Q$2:$Q$500,0)&gt;0,55,""),"")</f>
        <v/>
      </c>
      <c r="B59" s="15" t="str">
        <f aca="false">IFERROR(IF(INDEX('Task Log'!$C$2:$C$500,MATCH(55,'Task Log'!$Q$2:$Q$500,0))="","",INDEX('Task Log'!$C$2:$C$500,MATCH(55,'Task Log'!$Q$2:$Q$500,0))),"")</f>
        <v/>
      </c>
      <c r="C59" s="15" t="str">
        <f aca="false">IFERROR(IF(INDEX('Task Log'!$D$2:$D$500,MATCH(55,'Task Log'!$Q$2:$Q$500,0))="","",INDEX('Task Log'!$D$2:$D$500,MATCH(55,'Task Log'!$Q$2:$Q$500,0))),"")</f>
        <v/>
      </c>
      <c r="D59" s="15" t="str">
        <f aca="false">IFERROR(IF(INDEX('Task Log'!$E$2:$E$500,MATCH(55,'Task Log'!$Q$2:$Q$500,0))="","",INDEX('Task Log'!$E$2:$E$500,MATCH(55,'Task Log'!$Q$2:$Q$500,0))),"")</f>
        <v/>
      </c>
      <c r="E59" s="5" t="str">
        <f aca="false">IFERROR(IF(INDEX('Task Log'!$G$2:$G$500,MATCH(55,'Task Log'!$Q$2:$Q$500,0))="","",INDEX('Task Log'!$G$2:$G$500,MATCH(55,'Task Log'!$Q$2:$Q$500,0))),"")</f>
        <v/>
      </c>
      <c r="F59" s="11" t="str">
        <f aca="false">IFERROR(IF(INDEX('Task Log'!$H$2:$H$500,MATCH(55,'Task Log'!$Q$2:$Q$500,0))="","",INDEX('Task Log'!$H$2:$H$500,MATCH(55,'Task Log'!$Q$2:$Q$500,0))),"")</f>
        <v/>
      </c>
      <c r="G59" s="11" t="str">
        <f aca="false">IFERROR(IF(INDEX('Task Log'!$I$2:$I$500,MATCH(55,'Task Log'!$Q$2:$Q$500,0))="","",INDEX('Task Log'!$I$2:$I$500,MATCH(55,'Task Log'!$Q$2:$Q$500,0))),"")</f>
        <v/>
      </c>
      <c r="H59" s="15" t="str">
        <f aca="false">IFERROR(IF(INDEX('Task Log'!$J$2:$J$500,MATCH(55,'Task Log'!$Q$2:$Q$500,0))="","",INDEX('Task Log'!$J$2:$J$500,MATCH(55,'Task Log'!$Q$2:$Q$500,0))),"")</f>
        <v/>
      </c>
      <c r="I59" s="5" t="str">
        <f aca="false">IFERROR(IF(INDEX('Task Log'!$O$2:$O$500,MATCH(55,'Task Log'!$Q$2:$Q$500,0))="","",INDEX('Task Log'!$O$2:$O$500,MATCH(55,'Task Log'!$Q$2:$Q$500,0))),"")</f>
        <v/>
      </c>
      <c r="J59" s="5" t="str">
        <f aca="false">IFERROR(IF(INDEX('Task Log'!$K$2:$K$500,MATCH(55,'Task Log'!$Q$2:$Q$500,0))="","",INDEX('Task Log'!$K$2:$K$500,MATCH(55,'Task Log'!$Q$2:$Q$500,0))),"")</f>
        <v/>
      </c>
      <c r="K59" s="5" t="str">
        <f aca="false">IFERROR(IF(INDEX('Task Log'!$N$2:$N$500,MATCH(55,'Task Log'!$Q$2:$Q$500,0))="","",INDEX('Task Log'!$N$2:$N$500,MATCH(55,'Task Log'!$Q$2:$Q$500,0))),"")</f>
        <v/>
      </c>
      <c r="L59" s="5" t="str">
        <f aca="false">IFERROR(IF(INDEX('Task Log'!$P$2:$P$500,MATCH(55,'Task Log'!$Q$2:$Q$500,0))="","",INDEX('Task Log'!$P$2:$P$500,MATCH(55,'Task Log'!$Q$2:$Q$500,0))),"")</f>
        <v/>
      </c>
    </row>
    <row r="60" customFormat="false" ht="15" hidden="false" customHeight="false" outlineLevel="0" collapsed="false">
      <c r="A60" s="5" t="str">
        <f aca="false">IFERROR(IF(MATCH(56,'Task Log'!$Q$2:$Q$500,0)&gt;0,56,""),"")</f>
        <v/>
      </c>
      <c r="B60" s="15" t="str">
        <f aca="false">IFERROR(IF(INDEX('Task Log'!$C$2:$C$500,MATCH(56,'Task Log'!$Q$2:$Q$500,0))="","",INDEX('Task Log'!$C$2:$C$500,MATCH(56,'Task Log'!$Q$2:$Q$500,0))),"")</f>
        <v/>
      </c>
      <c r="C60" s="15" t="str">
        <f aca="false">IFERROR(IF(INDEX('Task Log'!$D$2:$D$500,MATCH(56,'Task Log'!$Q$2:$Q$500,0))="","",INDEX('Task Log'!$D$2:$D$500,MATCH(56,'Task Log'!$Q$2:$Q$500,0))),"")</f>
        <v/>
      </c>
      <c r="D60" s="15" t="str">
        <f aca="false">IFERROR(IF(INDEX('Task Log'!$E$2:$E$500,MATCH(56,'Task Log'!$Q$2:$Q$500,0))="","",INDEX('Task Log'!$E$2:$E$500,MATCH(56,'Task Log'!$Q$2:$Q$500,0))),"")</f>
        <v/>
      </c>
      <c r="E60" s="5" t="str">
        <f aca="false">IFERROR(IF(INDEX('Task Log'!$G$2:$G$500,MATCH(56,'Task Log'!$Q$2:$Q$500,0))="","",INDEX('Task Log'!$G$2:$G$500,MATCH(56,'Task Log'!$Q$2:$Q$500,0))),"")</f>
        <v/>
      </c>
      <c r="F60" s="11" t="str">
        <f aca="false">IFERROR(IF(INDEX('Task Log'!$H$2:$H$500,MATCH(56,'Task Log'!$Q$2:$Q$500,0))="","",INDEX('Task Log'!$H$2:$H$500,MATCH(56,'Task Log'!$Q$2:$Q$500,0))),"")</f>
        <v/>
      </c>
      <c r="G60" s="11" t="str">
        <f aca="false">IFERROR(IF(INDEX('Task Log'!$I$2:$I$500,MATCH(56,'Task Log'!$Q$2:$Q$500,0))="","",INDEX('Task Log'!$I$2:$I$500,MATCH(56,'Task Log'!$Q$2:$Q$500,0))),"")</f>
        <v/>
      </c>
      <c r="H60" s="15" t="str">
        <f aca="false">IFERROR(IF(INDEX('Task Log'!$J$2:$J$500,MATCH(56,'Task Log'!$Q$2:$Q$500,0))="","",INDEX('Task Log'!$J$2:$J$500,MATCH(56,'Task Log'!$Q$2:$Q$500,0))),"")</f>
        <v/>
      </c>
      <c r="I60" s="5" t="str">
        <f aca="false">IFERROR(IF(INDEX('Task Log'!$O$2:$O$500,MATCH(56,'Task Log'!$Q$2:$Q$500,0))="","",INDEX('Task Log'!$O$2:$O$500,MATCH(56,'Task Log'!$Q$2:$Q$500,0))),"")</f>
        <v/>
      </c>
      <c r="J60" s="5" t="str">
        <f aca="false">IFERROR(IF(INDEX('Task Log'!$K$2:$K$500,MATCH(56,'Task Log'!$Q$2:$Q$500,0))="","",INDEX('Task Log'!$K$2:$K$500,MATCH(56,'Task Log'!$Q$2:$Q$500,0))),"")</f>
        <v/>
      </c>
      <c r="K60" s="5" t="str">
        <f aca="false">IFERROR(IF(INDEX('Task Log'!$N$2:$N$500,MATCH(56,'Task Log'!$Q$2:$Q$500,0))="","",INDEX('Task Log'!$N$2:$N$500,MATCH(56,'Task Log'!$Q$2:$Q$500,0))),"")</f>
        <v/>
      </c>
      <c r="L60" s="5" t="str">
        <f aca="false">IFERROR(IF(INDEX('Task Log'!$P$2:$P$500,MATCH(56,'Task Log'!$Q$2:$Q$500,0))="","",INDEX('Task Log'!$P$2:$P$500,MATCH(56,'Task Log'!$Q$2:$Q$500,0))),"")</f>
        <v/>
      </c>
    </row>
    <row r="61" customFormat="false" ht="15" hidden="false" customHeight="false" outlineLevel="0" collapsed="false">
      <c r="A61" s="5" t="str">
        <f aca="false">IFERROR(IF(MATCH(57,'Task Log'!$Q$2:$Q$500,0)&gt;0,57,""),"")</f>
        <v/>
      </c>
      <c r="B61" s="15" t="str">
        <f aca="false">IFERROR(IF(INDEX('Task Log'!$C$2:$C$500,MATCH(57,'Task Log'!$Q$2:$Q$500,0))="","",INDEX('Task Log'!$C$2:$C$500,MATCH(57,'Task Log'!$Q$2:$Q$500,0))),"")</f>
        <v/>
      </c>
      <c r="C61" s="15" t="str">
        <f aca="false">IFERROR(IF(INDEX('Task Log'!$D$2:$D$500,MATCH(57,'Task Log'!$Q$2:$Q$500,0))="","",INDEX('Task Log'!$D$2:$D$500,MATCH(57,'Task Log'!$Q$2:$Q$500,0))),"")</f>
        <v/>
      </c>
      <c r="D61" s="15" t="str">
        <f aca="false">IFERROR(IF(INDEX('Task Log'!$E$2:$E$500,MATCH(57,'Task Log'!$Q$2:$Q$500,0))="","",INDEX('Task Log'!$E$2:$E$500,MATCH(57,'Task Log'!$Q$2:$Q$500,0))),"")</f>
        <v/>
      </c>
      <c r="E61" s="5" t="str">
        <f aca="false">IFERROR(IF(INDEX('Task Log'!$G$2:$G$500,MATCH(57,'Task Log'!$Q$2:$Q$500,0))="","",INDEX('Task Log'!$G$2:$G$500,MATCH(57,'Task Log'!$Q$2:$Q$500,0))),"")</f>
        <v/>
      </c>
      <c r="F61" s="11" t="str">
        <f aca="false">IFERROR(IF(INDEX('Task Log'!$H$2:$H$500,MATCH(57,'Task Log'!$Q$2:$Q$500,0))="","",INDEX('Task Log'!$H$2:$H$500,MATCH(57,'Task Log'!$Q$2:$Q$500,0))),"")</f>
        <v/>
      </c>
      <c r="G61" s="11" t="str">
        <f aca="false">IFERROR(IF(INDEX('Task Log'!$I$2:$I$500,MATCH(57,'Task Log'!$Q$2:$Q$500,0))="","",INDEX('Task Log'!$I$2:$I$500,MATCH(57,'Task Log'!$Q$2:$Q$500,0))),"")</f>
        <v/>
      </c>
      <c r="H61" s="15" t="str">
        <f aca="false">IFERROR(IF(INDEX('Task Log'!$J$2:$J$500,MATCH(57,'Task Log'!$Q$2:$Q$500,0))="","",INDEX('Task Log'!$J$2:$J$500,MATCH(57,'Task Log'!$Q$2:$Q$500,0))),"")</f>
        <v/>
      </c>
      <c r="I61" s="5" t="str">
        <f aca="false">IFERROR(IF(INDEX('Task Log'!$O$2:$O$500,MATCH(57,'Task Log'!$Q$2:$Q$500,0))="","",INDEX('Task Log'!$O$2:$O$500,MATCH(57,'Task Log'!$Q$2:$Q$500,0))),"")</f>
        <v/>
      </c>
      <c r="J61" s="5" t="str">
        <f aca="false">IFERROR(IF(INDEX('Task Log'!$K$2:$K$500,MATCH(57,'Task Log'!$Q$2:$Q$500,0))="","",INDEX('Task Log'!$K$2:$K$500,MATCH(57,'Task Log'!$Q$2:$Q$500,0))),"")</f>
        <v/>
      </c>
      <c r="K61" s="5" t="str">
        <f aca="false">IFERROR(IF(INDEX('Task Log'!$N$2:$N$500,MATCH(57,'Task Log'!$Q$2:$Q$500,0))="","",INDEX('Task Log'!$N$2:$N$500,MATCH(57,'Task Log'!$Q$2:$Q$500,0))),"")</f>
        <v/>
      </c>
      <c r="L61" s="5" t="str">
        <f aca="false">IFERROR(IF(INDEX('Task Log'!$P$2:$P$500,MATCH(57,'Task Log'!$Q$2:$Q$500,0))="","",INDEX('Task Log'!$P$2:$P$500,MATCH(57,'Task Log'!$Q$2:$Q$500,0))),"")</f>
        <v/>
      </c>
    </row>
    <row r="62" customFormat="false" ht="15" hidden="false" customHeight="false" outlineLevel="0" collapsed="false">
      <c r="A62" s="5" t="str">
        <f aca="false">IFERROR(IF(MATCH(58,'Task Log'!$Q$2:$Q$500,0)&gt;0,58,""),"")</f>
        <v/>
      </c>
      <c r="B62" s="15" t="str">
        <f aca="false">IFERROR(IF(INDEX('Task Log'!$C$2:$C$500,MATCH(58,'Task Log'!$Q$2:$Q$500,0))="","",INDEX('Task Log'!$C$2:$C$500,MATCH(58,'Task Log'!$Q$2:$Q$500,0))),"")</f>
        <v/>
      </c>
      <c r="C62" s="15" t="str">
        <f aca="false">IFERROR(IF(INDEX('Task Log'!$D$2:$D$500,MATCH(58,'Task Log'!$Q$2:$Q$500,0))="","",INDEX('Task Log'!$D$2:$D$500,MATCH(58,'Task Log'!$Q$2:$Q$500,0))),"")</f>
        <v/>
      </c>
      <c r="D62" s="15" t="str">
        <f aca="false">IFERROR(IF(INDEX('Task Log'!$E$2:$E$500,MATCH(58,'Task Log'!$Q$2:$Q$500,0))="","",INDEX('Task Log'!$E$2:$E$500,MATCH(58,'Task Log'!$Q$2:$Q$500,0))),"")</f>
        <v/>
      </c>
      <c r="E62" s="5" t="str">
        <f aca="false">IFERROR(IF(INDEX('Task Log'!$G$2:$G$500,MATCH(58,'Task Log'!$Q$2:$Q$500,0))="","",INDEX('Task Log'!$G$2:$G$500,MATCH(58,'Task Log'!$Q$2:$Q$500,0))),"")</f>
        <v/>
      </c>
      <c r="F62" s="11" t="str">
        <f aca="false">IFERROR(IF(INDEX('Task Log'!$H$2:$H$500,MATCH(58,'Task Log'!$Q$2:$Q$500,0))="","",INDEX('Task Log'!$H$2:$H$500,MATCH(58,'Task Log'!$Q$2:$Q$500,0))),"")</f>
        <v/>
      </c>
      <c r="G62" s="11" t="str">
        <f aca="false">IFERROR(IF(INDEX('Task Log'!$I$2:$I$500,MATCH(58,'Task Log'!$Q$2:$Q$500,0))="","",INDEX('Task Log'!$I$2:$I$500,MATCH(58,'Task Log'!$Q$2:$Q$500,0))),"")</f>
        <v/>
      </c>
      <c r="H62" s="15" t="str">
        <f aca="false">IFERROR(IF(INDEX('Task Log'!$J$2:$J$500,MATCH(58,'Task Log'!$Q$2:$Q$500,0))="","",INDEX('Task Log'!$J$2:$J$500,MATCH(58,'Task Log'!$Q$2:$Q$500,0))),"")</f>
        <v/>
      </c>
      <c r="I62" s="5" t="str">
        <f aca="false">IFERROR(IF(INDEX('Task Log'!$O$2:$O$500,MATCH(58,'Task Log'!$Q$2:$Q$500,0))="","",INDEX('Task Log'!$O$2:$O$500,MATCH(58,'Task Log'!$Q$2:$Q$500,0))),"")</f>
        <v/>
      </c>
      <c r="J62" s="5" t="str">
        <f aca="false">IFERROR(IF(INDEX('Task Log'!$K$2:$K$500,MATCH(58,'Task Log'!$Q$2:$Q$500,0))="","",INDEX('Task Log'!$K$2:$K$500,MATCH(58,'Task Log'!$Q$2:$Q$500,0))),"")</f>
        <v/>
      </c>
      <c r="K62" s="5" t="str">
        <f aca="false">IFERROR(IF(INDEX('Task Log'!$N$2:$N$500,MATCH(58,'Task Log'!$Q$2:$Q$500,0))="","",INDEX('Task Log'!$N$2:$N$500,MATCH(58,'Task Log'!$Q$2:$Q$500,0))),"")</f>
        <v/>
      </c>
      <c r="L62" s="5" t="str">
        <f aca="false">IFERROR(IF(INDEX('Task Log'!$P$2:$P$500,MATCH(58,'Task Log'!$Q$2:$Q$500,0))="","",INDEX('Task Log'!$P$2:$P$500,MATCH(58,'Task Log'!$Q$2:$Q$500,0))),"")</f>
        <v/>
      </c>
    </row>
    <row r="63" customFormat="false" ht="15" hidden="false" customHeight="false" outlineLevel="0" collapsed="false">
      <c r="A63" s="5" t="str">
        <f aca="false">IFERROR(IF(MATCH(59,'Task Log'!$Q$2:$Q$500,0)&gt;0,59,""),"")</f>
        <v/>
      </c>
      <c r="B63" s="15" t="str">
        <f aca="false">IFERROR(IF(INDEX('Task Log'!$C$2:$C$500,MATCH(59,'Task Log'!$Q$2:$Q$500,0))="","",INDEX('Task Log'!$C$2:$C$500,MATCH(59,'Task Log'!$Q$2:$Q$500,0))),"")</f>
        <v/>
      </c>
      <c r="C63" s="15" t="str">
        <f aca="false">IFERROR(IF(INDEX('Task Log'!$D$2:$D$500,MATCH(59,'Task Log'!$Q$2:$Q$500,0))="","",INDEX('Task Log'!$D$2:$D$500,MATCH(59,'Task Log'!$Q$2:$Q$500,0))),"")</f>
        <v/>
      </c>
      <c r="D63" s="15" t="str">
        <f aca="false">IFERROR(IF(INDEX('Task Log'!$E$2:$E$500,MATCH(59,'Task Log'!$Q$2:$Q$500,0))="","",INDEX('Task Log'!$E$2:$E$500,MATCH(59,'Task Log'!$Q$2:$Q$500,0))),"")</f>
        <v/>
      </c>
      <c r="E63" s="5" t="str">
        <f aca="false">IFERROR(IF(INDEX('Task Log'!$G$2:$G$500,MATCH(59,'Task Log'!$Q$2:$Q$500,0))="","",INDEX('Task Log'!$G$2:$G$500,MATCH(59,'Task Log'!$Q$2:$Q$500,0))),"")</f>
        <v/>
      </c>
      <c r="F63" s="11" t="str">
        <f aca="false">IFERROR(IF(INDEX('Task Log'!$H$2:$H$500,MATCH(59,'Task Log'!$Q$2:$Q$500,0))="","",INDEX('Task Log'!$H$2:$H$500,MATCH(59,'Task Log'!$Q$2:$Q$500,0))),"")</f>
        <v/>
      </c>
      <c r="G63" s="11" t="str">
        <f aca="false">IFERROR(IF(INDEX('Task Log'!$I$2:$I$500,MATCH(59,'Task Log'!$Q$2:$Q$500,0))="","",INDEX('Task Log'!$I$2:$I$500,MATCH(59,'Task Log'!$Q$2:$Q$500,0))),"")</f>
        <v/>
      </c>
      <c r="H63" s="15" t="str">
        <f aca="false">IFERROR(IF(INDEX('Task Log'!$J$2:$J$500,MATCH(59,'Task Log'!$Q$2:$Q$500,0))="","",INDEX('Task Log'!$J$2:$J$500,MATCH(59,'Task Log'!$Q$2:$Q$500,0))),"")</f>
        <v/>
      </c>
      <c r="I63" s="5" t="str">
        <f aca="false">IFERROR(IF(INDEX('Task Log'!$O$2:$O$500,MATCH(59,'Task Log'!$Q$2:$Q$500,0))="","",INDEX('Task Log'!$O$2:$O$500,MATCH(59,'Task Log'!$Q$2:$Q$500,0))),"")</f>
        <v/>
      </c>
      <c r="J63" s="5" t="str">
        <f aca="false">IFERROR(IF(INDEX('Task Log'!$K$2:$K$500,MATCH(59,'Task Log'!$Q$2:$Q$500,0))="","",INDEX('Task Log'!$K$2:$K$500,MATCH(59,'Task Log'!$Q$2:$Q$500,0))),"")</f>
        <v/>
      </c>
      <c r="K63" s="5" t="str">
        <f aca="false">IFERROR(IF(INDEX('Task Log'!$N$2:$N$500,MATCH(59,'Task Log'!$Q$2:$Q$500,0))="","",INDEX('Task Log'!$N$2:$N$500,MATCH(59,'Task Log'!$Q$2:$Q$500,0))),"")</f>
        <v/>
      </c>
      <c r="L63" s="5" t="str">
        <f aca="false">IFERROR(IF(INDEX('Task Log'!$P$2:$P$500,MATCH(59,'Task Log'!$Q$2:$Q$500,0))="","",INDEX('Task Log'!$P$2:$P$500,MATCH(59,'Task Log'!$Q$2:$Q$500,0))),"")</f>
        <v/>
      </c>
    </row>
    <row r="64" customFormat="false" ht="15" hidden="false" customHeight="false" outlineLevel="0" collapsed="false">
      <c r="A64" s="5" t="str">
        <f aca="false">IFERROR(IF(MATCH(60,'Task Log'!$Q$2:$Q$500,0)&gt;0,60,""),"")</f>
        <v/>
      </c>
      <c r="B64" s="15" t="str">
        <f aca="false">IFERROR(IF(INDEX('Task Log'!$C$2:$C$500,MATCH(60,'Task Log'!$Q$2:$Q$500,0))="","",INDEX('Task Log'!$C$2:$C$500,MATCH(60,'Task Log'!$Q$2:$Q$500,0))),"")</f>
        <v/>
      </c>
      <c r="C64" s="15" t="str">
        <f aca="false">IFERROR(IF(INDEX('Task Log'!$D$2:$D$500,MATCH(60,'Task Log'!$Q$2:$Q$500,0))="","",INDEX('Task Log'!$D$2:$D$500,MATCH(60,'Task Log'!$Q$2:$Q$500,0))),"")</f>
        <v/>
      </c>
      <c r="D64" s="15" t="str">
        <f aca="false">IFERROR(IF(INDEX('Task Log'!$E$2:$E$500,MATCH(60,'Task Log'!$Q$2:$Q$500,0))="","",INDEX('Task Log'!$E$2:$E$500,MATCH(60,'Task Log'!$Q$2:$Q$500,0))),"")</f>
        <v/>
      </c>
      <c r="E64" s="5" t="str">
        <f aca="false">IFERROR(IF(INDEX('Task Log'!$G$2:$G$500,MATCH(60,'Task Log'!$Q$2:$Q$500,0))="","",INDEX('Task Log'!$G$2:$G$500,MATCH(60,'Task Log'!$Q$2:$Q$500,0))),"")</f>
        <v/>
      </c>
      <c r="F64" s="11" t="str">
        <f aca="false">IFERROR(IF(INDEX('Task Log'!$H$2:$H$500,MATCH(60,'Task Log'!$Q$2:$Q$500,0))="","",INDEX('Task Log'!$H$2:$H$500,MATCH(60,'Task Log'!$Q$2:$Q$500,0))),"")</f>
        <v/>
      </c>
      <c r="G64" s="11" t="str">
        <f aca="false">IFERROR(IF(INDEX('Task Log'!$I$2:$I$500,MATCH(60,'Task Log'!$Q$2:$Q$500,0))="","",INDEX('Task Log'!$I$2:$I$500,MATCH(60,'Task Log'!$Q$2:$Q$500,0))),"")</f>
        <v/>
      </c>
      <c r="H64" s="15" t="str">
        <f aca="false">IFERROR(IF(INDEX('Task Log'!$J$2:$J$500,MATCH(60,'Task Log'!$Q$2:$Q$500,0))="","",INDEX('Task Log'!$J$2:$J$500,MATCH(60,'Task Log'!$Q$2:$Q$500,0))),"")</f>
        <v/>
      </c>
      <c r="I64" s="5" t="str">
        <f aca="false">IFERROR(IF(INDEX('Task Log'!$O$2:$O$500,MATCH(60,'Task Log'!$Q$2:$Q$500,0))="","",INDEX('Task Log'!$O$2:$O$500,MATCH(60,'Task Log'!$Q$2:$Q$500,0))),"")</f>
        <v/>
      </c>
      <c r="J64" s="5" t="str">
        <f aca="false">IFERROR(IF(INDEX('Task Log'!$K$2:$K$500,MATCH(60,'Task Log'!$Q$2:$Q$500,0))="","",INDEX('Task Log'!$K$2:$K$500,MATCH(60,'Task Log'!$Q$2:$Q$500,0))),"")</f>
        <v/>
      </c>
      <c r="K64" s="5" t="str">
        <f aca="false">IFERROR(IF(INDEX('Task Log'!$N$2:$N$500,MATCH(60,'Task Log'!$Q$2:$Q$500,0))="","",INDEX('Task Log'!$N$2:$N$500,MATCH(60,'Task Log'!$Q$2:$Q$500,0))),"")</f>
        <v/>
      </c>
      <c r="L64" s="5" t="str">
        <f aca="false">IFERROR(IF(INDEX('Task Log'!$P$2:$P$500,MATCH(60,'Task Log'!$Q$2:$Q$500,0))="","",INDEX('Task Log'!$P$2:$P$500,MATCH(60,'Task Log'!$Q$2:$Q$500,0))),"")</f>
        <v/>
      </c>
    </row>
    <row r="65" customFormat="false" ht="15" hidden="false" customHeight="false" outlineLevel="0" collapsed="false">
      <c r="A65" s="5" t="str">
        <f aca="false">IFERROR(IF(MATCH(61,'Task Log'!$Q$2:$Q$500,0)&gt;0,61,""),"")</f>
        <v/>
      </c>
      <c r="B65" s="15" t="str">
        <f aca="false">IFERROR(IF(INDEX('Task Log'!$C$2:$C$500,MATCH(61,'Task Log'!$Q$2:$Q$500,0))="","",INDEX('Task Log'!$C$2:$C$500,MATCH(61,'Task Log'!$Q$2:$Q$500,0))),"")</f>
        <v/>
      </c>
      <c r="C65" s="15" t="str">
        <f aca="false">IFERROR(IF(INDEX('Task Log'!$D$2:$D$500,MATCH(61,'Task Log'!$Q$2:$Q$500,0))="","",INDEX('Task Log'!$D$2:$D$500,MATCH(61,'Task Log'!$Q$2:$Q$500,0))),"")</f>
        <v/>
      </c>
      <c r="D65" s="15" t="str">
        <f aca="false">IFERROR(IF(INDEX('Task Log'!$E$2:$E$500,MATCH(61,'Task Log'!$Q$2:$Q$500,0))="","",INDEX('Task Log'!$E$2:$E$500,MATCH(61,'Task Log'!$Q$2:$Q$500,0))),"")</f>
        <v/>
      </c>
      <c r="E65" s="5" t="str">
        <f aca="false">IFERROR(IF(INDEX('Task Log'!$G$2:$G$500,MATCH(61,'Task Log'!$Q$2:$Q$500,0))="","",INDEX('Task Log'!$G$2:$G$500,MATCH(61,'Task Log'!$Q$2:$Q$500,0))),"")</f>
        <v/>
      </c>
      <c r="F65" s="11" t="str">
        <f aca="false">IFERROR(IF(INDEX('Task Log'!$H$2:$H$500,MATCH(61,'Task Log'!$Q$2:$Q$500,0))="","",INDEX('Task Log'!$H$2:$H$500,MATCH(61,'Task Log'!$Q$2:$Q$500,0))),"")</f>
        <v/>
      </c>
      <c r="G65" s="11" t="str">
        <f aca="false">IFERROR(IF(INDEX('Task Log'!$I$2:$I$500,MATCH(61,'Task Log'!$Q$2:$Q$500,0))="","",INDEX('Task Log'!$I$2:$I$500,MATCH(61,'Task Log'!$Q$2:$Q$500,0))),"")</f>
        <v/>
      </c>
      <c r="H65" s="15" t="str">
        <f aca="false">IFERROR(IF(INDEX('Task Log'!$J$2:$J$500,MATCH(61,'Task Log'!$Q$2:$Q$500,0))="","",INDEX('Task Log'!$J$2:$J$500,MATCH(61,'Task Log'!$Q$2:$Q$500,0))),"")</f>
        <v/>
      </c>
      <c r="I65" s="5" t="str">
        <f aca="false">IFERROR(IF(INDEX('Task Log'!$O$2:$O$500,MATCH(61,'Task Log'!$Q$2:$Q$500,0))="","",INDEX('Task Log'!$O$2:$O$500,MATCH(61,'Task Log'!$Q$2:$Q$500,0))),"")</f>
        <v/>
      </c>
      <c r="J65" s="5" t="str">
        <f aca="false">IFERROR(IF(INDEX('Task Log'!$K$2:$K$500,MATCH(61,'Task Log'!$Q$2:$Q$500,0))="","",INDEX('Task Log'!$K$2:$K$500,MATCH(61,'Task Log'!$Q$2:$Q$500,0))),"")</f>
        <v/>
      </c>
      <c r="K65" s="5" t="str">
        <f aca="false">IFERROR(IF(INDEX('Task Log'!$N$2:$N$500,MATCH(61,'Task Log'!$Q$2:$Q$500,0))="","",INDEX('Task Log'!$N$2:$N$500,MATCH(61,'Task Log'!$Q$2:$Q$500,0))),"")</f>
        <v/>
      </c>
      <c r="L65" s="5" t="str">
        <f aca="false">IFERROR(IF(INDEX('Task Log'!$P$2:$P$500,MATCH(61,'Task Log'!$Q$2:$Q$500,0))="","",INDEX('Task Log'!$P$2:$P$500,MATCH(61,'Task Log'!$Q$2:$Q$500,0))),"")</f>
        <v/>
      </c>
    </row>
    <row r="66" customFormat="false" ht="15" hidden="false" customHeight="false" outlineLevel="0" collapsed="false">
      <c r="A66" s="5" t="str">
        <f aca="false">IFERROR(IF(MATCH(62,'Task Log'!$Q$2:$Q$500,0)&gt;0,62,""),"")</f>
        <v/>
      </c>
      <c r="B66" s="15" t="str">
        <f aca="false">IFERROR(IF(INDEX('Task Log'!$C$2:$C$500,MATCH(62,'Task Log'!$Q$2:$Q$500,0))="","",INDEX('Task Log'!$C$2:$C$500,MATCH(62,'Task Log'!$Q$2:$Q$500,0))),"")</f>
        <v/>
      </c>
      <c r="C66" s="15" t="str">
        <f aca="false">IFERROR(IF(INDEX('Task Log'!$D$2:$D$500,MATCH(62,'Task Log'!$Q$2:$Q$500,0))="","",INDEX('Task Log'!$D$2:$D$500,MATCH(62,'Task Log'!$Q$2:$Q$500,0))),"")</f>
        <v/>
      </c>
      <c r="D66" s="15" t="str">
        <f aca="false">IFERROR(IF(INDEX('Task Log'!$E$2:$E$500,MATCH(62,'Task Log'!$Q$2:$Q$500,0))="","",INDEX('Task Log'!$E$2:$E$500,MATCH(62,'Task Log'!$Q$2:$Q$500,0))),"")</f>
        <v/>
      </c>
      <c r="E66" s="5" t="str">
        <f aca="false">IFERROR(IF(INDEX('Task Log'!$G$2:$G$500,MATCH(62,'Task Log'!$Q$2:$Q$500,0))="","",INDEX('Task Log'!$G$2:$G$500,MATCH(62,'Task Log'!$Q$2:$Q$500,0))),"")</f>
        <v/>
      </c>
      <c r="F66" s="11" t="str">
        <f aca="false">IFERROR(IF(INDEX('Task Log'!$H$2:$H$500,MATCH(62,'Task Log'!$Q$2:$Q$500,0))="","",INDEX('Task Log'!$H$2:$H$500,MATCH(62,'Task Log'!$Q$2:$Q$500,0))),"")</f>
        <v/>
      </c>
      <c r="G66" s="11" t="str">
        <f aca="false">IFERROR(IF(INDEX('Task Log'!$I$2:$I$500,MATCH(62,'Task Log'!$Q$2:$Q$500,0))="","",INDEX('Task Log'!$I$2:$I$500,MATCH(62,'Task Log'!$Q$2:$Q$500,0))),"")</f>
        <v/>
      </c>
      <c r="H66" s="15" t="str">
        <f aca="false">IFERROR(IF(INDEX('Task Log'!$J$2:$J$500,MATCH(62,'Task Log'!$Q$2:$Q$500,0))="","",INDEX('Task Log'!$J$2:$J$500,MATCH(62,'Task Log'!$Q$2:$Q$500,0))),"")</f>
        <v/>
      </c>
      <c r="I66" s="5" t="str">
        <f aca="false">IFERROR(IF(INDEX('Task Log'!$O$2:$O$500,MATCH(62,'Task Log'!$Q$2:$Q$500,0))="","",INDEX('Task Log'!$O$2:$O$500,MATCH(62,'Task Log'!$Q$2:$Q$500,0))),"")</f>
        <v/>
      </c>
      <c r="J66" s="5" t="str">
        <f aca="false">IFERROR(IF(INDEX('Task Log'!$K$2:$K$500,MATCH(62,'Task Log'!$Q$2:$Q$500,0))="","",INDEX('Task Log'!$K$2:$K$500,MATCH(62,'Task Log'!$Q$2:$Q$500,0))),"")</f>
        <v/>
      </c>
      <c r="K66" s="5" t="str">
        <f aca="false">IFERROR(IF(INDEX('Task Log'!$N$2:$N$500,MATCH(62,'Task Log'!$Q$2:$Q$500,0))="","",INDEX('Task Log'!$N$2:$N$500,MATCH(62,'Task Log'!$Q$2:$Q$500,0))),"")</f>
        <v/>
      </c>
      <c r="L66" s="5" t="str">
        <f aca="false">IFERROR(IF(INDEX('Task Log'!$P$2:$P$500,MATCH(62,'Task Log'!$Q$2:$Q$500,0))="","",INDEX('Task Log'!$P$2:$P$500,MATCH(62,'Task Log'!$Q$2:$Q$500,0))),"")</f>
        <v/>
      </c>
    </row>
    <row r="67" customFormat="false" ht="15" hidden="false" customHeight="false" outlineLevel="0" collapsed="false">
      <c r="A67" s="5" t="str">
        <f aca="false">IFERROR(IF(MATCH(63,'Task Log'!$Q$2:$Q$500,0)&gt;0,63,""),"")</f>
        <v/>
      </c>
      <c r="B67" s="15" t="str">
        <f aca="false">IFERROR(IF(INDEX('Task Log'!$C$2:$C$500,MATCH(63,'Task Log'!$Q$2:$Q$500,0))="","",INDEX('Task Log'!$C$2:$C$500,MATCH(63,'Task Log'!$Q$2:$Q$500,0))),"")</f>
        <v/>
      </c>
      <c r="C67" s="15" t="str">
        <f aca="false">IFERROR(IF(INDEX('Task Log'!$D$2:$D$500,MATCH(63,'Task Log'!$Q$2:$Q$500,0))="","",INDEX('Task Log'!$D$2:$D$500,MATCH(63,'Task Log'!$Q$2:$Q$500,0))),"")</f>
        <v/>
      </c>
      <c r="D67" s="15" t="str">
        <f aca="false">IFERROR(IF(INDEX('Task Log'!$E$2:$E$500,MATCH(63,'Task Log'!$Q$2:$Q$500,0))="","",INDEX('Task Log'!$E$2:$E$500,MATCH(63,'Task Log'!$Q$2:$Q$500,0))),"")</f>
        <v/>
      </c>
      <c r="E67" s="5" t="str">
        <f aca="false">IFERROR(IF(INDEX('Task Log'!$G$2:$G$500,MATCH(63,'Task Log'!$Q$2:$Q$500,0))="","",INDEX('Task Log'!$G$2:$G$500,MATCH(63,'Task Log'!$Q$2:$Q$500,0))),"")</f>
        <v/>
      </c>
      <c r="F67" s="11" t="str">
        <f aca="false">IFERROR(IF(INDEX('Task Log'!$H$2:$H$500,MATCH(63,'Task Log'!$Q$2:$Q$500,0))="","",INDEX('Task Log'!$H$2:$H$500,MATCH(63,'Task Log'!$Q$2:$Q$500,0))),"")</f>
        <v/>
      </c>
      <c r="G67" s="11" t="str">
        <f aca="false">IFERROR(IF(INDEX('Task Log'!$I$2:$I$500,MATCH(63,'Task Log'!$Q$2:$Q$500,0))="","",INDEX('Task Log'!$I$2:$I$500,MATCH(63,'Task Log'!$Q$2:$Q$500,0))),"")</f>
        <v/>
      </c>
      <c r="H67" s="15" t="str">
        <f aca="false">IFERROR(IF(INDEX('Task Log'!$J$2:$J$500,MATCH(63,'Task Log'!$Q$2:$Q$500,0))="","",INDEX('Task Log'!$J$2:$J$500,MATCH(63,'Task Log'!$Q$2:$Q$500,0))),"")</f>
        <v/>
      </c>
      <c r="I67" s="5" t="str">
        <f aca="false">IFERROR(IF(INDEX('Task Log'!$O$2:$O$500,MATCH(63,'Task Log'!$Q$2:$Q$500,0))="","",INDEX('Task Log'!$O$2:$O$500,MATCH(63,'Task Log'!$Q$2:$Q$500,0))),"")</f>
        <v/>
      </c>
      <c r="J67" s="5" t="str">
        <f aca="false">IFERROR(IF(INDEX('Task Log'!$K$2:$K$500,MATCH(63,'Task Log'!$Q$2:$Q$500,0))="","",INDEX('Task Log'!$K$2:$K$500,MATCH(63,'Task Log'!$Q$2:$Q$500,0))),"")</f>
        <v/>
      </c>
      <c r="K67" s="5" t="str">
        <f aca="false">IFERROR(IF(INDEX('Task Log'!$N$2:$N$500,MATCH(63,'Task Log'!$Q$2:$Q$500,0))="","",INDEX('Task Log'!$N$2:$N$500,MATCH(63,'Task Log'!$Q$2:$Q$500,0))),"")</f>
        <v/>
      </c>
      <c r="L67" s="5" t="str">
        <f aca="false">IFERROR(IF(INDEX('Task Log'!$P$2:$P$500,MATCH(63,'Task Log'!$Q$2:$Q$500,0))="","",INDEX('Task Log'!$P$2:$P$500,MATCH(63,'Task Log'!$Q$2:$Q$500,0))),"")</f>
        <v/>
      </c>
    </row>
    <row r="68" customFormat="false" ht="15" hidden="false" customHeight="false" outlineLevel="0" collapsed="false">
      <c r="A68" s="5" t="str">
        <f aca="false">IFERROR(IF(MATCH(64,'Task Log'!$Q$2:$Q$500,0)&gt;0,64,""),"")</f>
        <v/>
      </c>
      <c r="B68" s="15" t="str">
        <f aca="false">IFERROR(IF(INDEX('Task Log'!$C$2:$C$500,MATCH(64,'Task Log'!$Q$2:$Q$500,0))="","",INDEX('Task Log'!$C$2:$C$500,MATCH(64,'Task Log'!$Q$2:$Q$500,0))),"")</f>
        <v/>
      </c>
      <c r="C68" s="15" t="str">
        <f aca="false">IFERROR(IF(INDEX('Task Log'!$D$2:$D$500,MATCH(64,'Task Log'!$Q$2:$Q$500,0))="","",INDEX('Task Log'!$D$2:$D$500,MATCH(64,'Task Log'!$Q$2:$Q$500,0))),"")</f>
        <v/>
      </c>
      <c r="D68" s="15" t="str">
        <f aca="false">IFERROR(IF(INDEX('Task Log'!$E$2:$E$500,MATCH(64,'Task Log'!$Q$2:$Q$500,0))="","",INDEX('Task Log'!$E$2:$E$500,MATCH(64,'Task Log'!$Q$2:$Q$500,0))),"")</f>
        <v/>
      </c>
      <c r="E68" s="5" t="str">
        <f aca="false">IFERROR(IF(INDEX('Task Log'!$G$2:$G$500,MATCH(64,'Task Log'!$Q$2:$Q$500,0))="","",INDEX('Task Log'!$G$2:$G$500,MATCH(64,'Task Log'!$Q$2:$Q$500,0))),"")</f>
        <v/>
      </c>
      <c r="F68" s="11" t="str">
        <f aca="false">IFERROR(IF(INDEX('Task Log'!$H$2:$H$500,MATCH(64,'Task Log'!$Q$2:$Q$500,0))="","",INDEX('Task Log'!$H$2:$H$500,MATCH(64,'Task Log'!$Q$2:$Q$500,0))),"")</f>
        <v/>
      </c>
      <c r="G68" s="11" t="str">
        <f aca="false">IFERROR(IF(INDEX('Task Log'!$I$2:$I$500,MATCH(64,'Task Log'!$Q$2:$Q$500,0))="","",INDEX('Task Log'!$I$2:$I$500,MATCH(64,'Task Log'!$Q$2:$Q$500,0))),"")</f>
        <v/>
      </c>
      <c r="H68" s="15" t="str">
        <f aca="false">IFERROR(IF(INDEX('Task Log'!$J$2:$J$500,MATCH(64,'Task Log'!$Q$2:$Q$500,0))="","",INDEX('Task Log'!$J$2:$J$500,MATCH(64,'Task Log'!$Q$2:$Q$500,0))),"")</f>
        <v/>
      </c>
      <c r="I68" s="5" t="str">
        <f aca="false">IFERROR(IF(INDEX('Task Log'!$O$2:$O$500,MATCH(64,'Task Log'!$Q$2:$Q$500,0))="","",INDEX('Task Log'!$O$2:$O$500,MATCH(64,'Task Log'!$Q$2:$Q$500,0))),"")</f>
        <v/>
      </c>
      <c r="J68" s="5" t="str">
        <f aca="false">IFERROR(IF(INDEX('Task Log'!$K$2:$K$500,MATCH(64,'Task Log'!$Q$2:$Q$500,0))="","",INDEX('Task Log'!$K$2:$K$500,MATCH(64,'Task Log'!$Q$2:$Q$500,0))),"")</f>
        <v/>
      </c>
      <c r="K68" s="5" t="str">
        <f aca="false">IFERROR(IF(INDEX('Task Log'!$N$2:$N$500,MATCH(64,'Task Log'!$Q$2:$Q$500,0))="","",INDEX('Task Log'!$N$2:$N$500,MATCH(64,'Task Log'!$Q$2:$Q$500,0))),"")</f>
        <v/>
      </c>
      <c r="L68" s="5" t="str">
        <f aca="false">IFERROR(IF(INDEX('Task Log'!$P$2:$P$500,MATCH(64,'Task Log'!$Q$2:$Q$500,0))="","",INDEX('Task Log'!$P$2:$P$500,MATCH(64,'Task Log'!$Q$2:$Q$500,0))),"")</f>
        <v/>
      </c>
    </row>
    <row r="69" customFormat="false" ht="15" hidden="false" customHeight="false" outlineLevel="0" collapsed="false">
      <c r="A69" s="5" t="str">
        <f aca="false">IFERROR(IF(MATCH(65,'Task Log'!$Q$2:$Q$500,0)&gt;0,65,""),"")</f>
        <v/>
      </c>
      <c r="B69" s="15" t="str">
        <f aca="false">IFERROR(IF(INDEX('Task Log'!$C$2:$C$500,MATCH(65,'Task Log'!$Q$2:$Q$500,0))="","",INDEX('Task Log'!$C$2:$C$500,MATCH(65,'Task Log'!$Q$2:$Q$500,0))),"")</f>
        <v/>
      </c>
      <c r="C69" s="15" t="str">
        <f aca="false">IFERROR(IF(INDEX('Task Log'!$D$2:$D$500,MATCH(65,'Task Log'!$Q$2:$Q$500,0))="","",INDEX('Task Log'!$D$2:$D$500,MATCH(65,'Task Log'!$Q$2:$Q$500,0))),"")</f>
        <v/>
      </c>
      <c r="D69" s="15" t="str">
        <f aca="false">IFERROR(IF(INDEX('Task Log'!$E$2:$E$500,MATCH(65,'Task Log'!$Q$2:$Q$500,0))="","",INDEX('Task Log'!$E$2:$E$500,MATCH(65,'Task Log'!$Q$2:$Q$500,0))),"")</f>
        <v/>
      </c>
      <c r="E69" s="5" t="str">
        <f aca="false">IFERROR(IF(INDEX('Task Log'!$G$2:$G$500,MATCH(65,'Task Log'!$Q$2:$Q$500,0))="","",INDEX('Task Log'!$G$2:$G$500,MATCH(65,'Task Log'!$Q$2:$Q$500,0))),"")</f>
        <v/>
      </c>
      <c r="F69" s="11" t="str">
        <f aca="false">IFERROR(IF(INDEX('Task Log'!$H$2:$H$500,MATCH(65,'Task Log'!$Q$2:$Q$500,0))="","",INDEX('Task Log'!$H$2:$H$500,MATCH(65,'Task Log'!$Q$2:$Q$500,0))),"")</f>
        <v/>
      </c>
      <c r="G69" s="11" t="str">
        <f aca="false">IFERROR(IF(INDEX('Task Log'!$I$2:$I$500,MATCH(65,'Task Log'!$Q$2:$Q$500,0))="","",INDEX('Task Log'!$I$2:$I$500,MATCH(65,'Task Log'!$Q$2:$Q$500,0))),"")</f>
        <v/>
      </c>
      <c r="H69" s="15" t="str">
        <f aca="false">IFERROR(IF(INDEX('Task Log'!$J$2:$J$500,MATCH(65,'Task Log'!$Q$2:$Q$500,0))="","",INDEX('Task Log'!$J$2:$J$500,MATCH(65,'Task Log'!$Q$2:$Q$500,0))),"")</f>
        <v/>
      </c>
      <c r="I69" s="5" t="str">
        <f aca="false">IFERROR(IF(INDEX('Task Log'!$O$2:$O$500,MATCH(65,'Task Log'!$Q$2:$Q$500,0))="","",INDEX('Task Log'!$O$2:$O$500,MATCH(65,'Task Log'!$Q$2:$Q$500,0))),"")</f>
        <v/>
      </c>
      <c r="J69" s="5" t="str">
        <f aca="false">IFERROR(IF(INDEX('Task Log'!$K$2:$K$500,MATCH(65,'Task Log'!$Q$2:$Q$500,0))="","",INDEX('Task Log'!$K$2:$K$500,MATCH(65,'Task Log'!$Q$2:$Q$500,0))),"")</f>
        <v/>
      </c>
      <c r="K69" s="5" t="str">
        <f aca="false">IFERROR(IF(INDEX('Task Log'!$N$2:$N$500,MATCH(65,'Task Log'!$Q$2:$Q$500,0))="","",INDEX('Task Log'!$N$2:$N$500,MATCH(65,'Task Log'!$Q$2:$Q$500,0))),"")</f>
        <v/>
      </c>
      <c r="L69" s="5" t="str">
        <f aca="false">IFERROR(IF(INDEX('Task Log'!$P$2:$P$500,MATCH(65,'Task Log'!$Q$2:$Q$500,0))="","",INDEX('Task Log'!$P$2:$P$500,MATCH(65,'Task Log'!$Q$2:$Q$500,0))),"")</f>
        <v/>
      </c>
    </row>
    <row r="70" customFormat="false" ht="15" hidden="false" customHeight="false" outlineLevel="0" collapsed="false">
      <c r="A70" s="5" t="str">
        <f aca="false">IFERROR(IF(MATCH(66,'Task Log'!$Q$2:$Q$500,0)&gt;0,66,""),"")</f>
        <v/>
      </c>
      <c r="B70" s="15" t="str">
        <f aca="false">IFERROR(IF(INDEX('Task Log'!$C$2:$C$500,MATCH(66,'Task Log'!$Q$2:$Q$500,0))="","",INDEX('Task Log'!$C$2:$C$500,MATCH(66,'Task Log'!$Q$2:$Q$500,0))),"")</f>
        <v/>
      </c>
      <c r="C70" s="15" t="str">
        <f aca="false">IFERROR(IF(INDEX('Task Log'!$D$2:$D$500,MATCH(66,'Task Log'!$Q$2:$Q$500,0))="","",INDEX('Task Log'!$D$2:$D$500,MATCH(66,'Task Log'!$Q$2:$Q$500,0))),"")</f>
        <v/>
      </c>
      <c r="D70" s="15" t="str">
        <f aca="false">IFERROR(IF(INDEX('Task Log'!$E$2:$E$500,MATCH(66,'Task Log'!$Q$2:$Q$500,0))="","",INDEX('Task Log'!$E$2:$E$500,MATCH(66,'Task Log'!$Q$2:$Q$500,0))),"")</f>
        <v/>
      </c>
      <c r="E70" s="5" t="str">
        <f aca="false">IFERROR(IF(INDEX('Task Log'!$G$2:$G$500,MATCH(66,'Task Log'!$Q$2:$Q$500,0))="","",INDEX('Task Log'!$G$2:$G$500,MATCH(66,'Task Log'!$Q$2:$Q$500,0))),"")</f>
        <v/>
      </c>
      <c r="F70" s="11" t="str">
        <f aca="false">IFERROR(IF(INDEX('Task Log'!$H$2:$H$500,MATCH(66,'Task Log'!$Q$2:$Q$500,0))="","",INDEX('Task Log'!$H$2:$H$500,MATCH(66,'Task Log'!$Q$2:$Q$500,0))),"")</f>
        <v/>
      </c>
      <c r="G70" s="11" t="str">
        <f aca="false">IFERROR(IF(INDEX('Task Log'!$I$2:$I$500,MATCH(66,'Task Log'!$Q$2:$Q$500,0))="","",INDEX('Task Log'!$I$2:$I$500,MATCH(66,'Task Log'!$Q$2:$Q$500,0))),"")</f>
        <v/>
      </c>
      <c r="H70" s="15" t="str">
        <f aca="false">IFERROR(IF(INDEX('Task Log'!$J$2:$J$500,MATCH(66,'Task Log'!$Q$2:$Q$500,0))="","",INDEX('Task Log'!$J$2:$J$500,MATCH(66,'Task Log'!$Q$2:$Q$500,0))),"")</f>
        <v/>
      </c>
      <c r="I70" s="5" t="str">
        <f aca="false">IFERROR(IF(INDEX('Task Log'!$O$2:$O$500,MATCH(66,'Task Log'!$Q$2:$Q$500,0))="","",INDEX('Task Log'!$O$2:$O$500,MATCH(66,'Task Log'!$Q$2:$Q$500,0))),"")</f>
        <v/>
      </c>
      <c r="J70" s="5" t="str">
        <f aca="false">IFERROR(IF(INDEX('Task Log'!$K$2:$K$500,MATCH(66,'Task Log'!$Q$2:$Q$500,0))="","",INDEX('Task Log'!$K$2:$K$500,MATCH(66,'Task Log'!$Q$2:$Q$500,0))),"")</f>
        <v/>
      </c>
      <c r="K70" s="5" t="str">
        <f aca="false">IFERROR(IF(INDEX('Task Log'!$N$2:$N$500,MATCH(66,'Task Log'!$Q$2:$Q$500,0))="","",INDEX('Task Log'!$N$2:$N$500,MATCH(66,'Task Log'!$Q$2:$Q$500,0))),"")</f>
        <v/>
      </c>
      <c r="L70" s="5" t="str">
        <f aca="false">IFERROR(IF(INDEX('Task Log'!$P$2:$P$500,MATCH(66,'Task Log'!$Q$2:$Q$500,0))="","",INDEX('Task Log'!$P$2:$P$500,MATCH(66,'Task Log'!$Q$2:$Q$500,0))),"")</f>
        <v/>
      </c>
    </row>
    <row r="71" customFormat="false" ht="15" hidden="false" customHeight="false" outlineLevel="0" collapsed="false">
      <c r="A71" s="5" t="str">
        <f aca="false">IFERROR(IF(MATCH(67,'Task Log'!$Q$2:$Q$500,0)&gt;0,67,""),"")</f>
        <v/>
      </c>
      <c r="B71" s="15" t="str">
        <f aca="false">IFERROR(IF(INDEX('Task Log'!$C$2:$C$500,MATCH(67,'Task Log'!$Q$2:$Q$500,0))="","",INDEX('Task Log'!$C$2:$C$500,MATCH(67,'Task Log'!$Q$2:$Q$500,0))),"")</f>
        <v/>
      </c>
      <c r="C71" s="15" t="str">
        <f aca="false">IFERROR(IF(INDEX('Task Log'!$D$2:$D$500,MATCH(67,'Task Log'!$Q$2:$Q$500,0))="","",INDEX('Task Log'!$D$2:$D$500,MATCH(67,'Task Log'!$Q$2:$Q$500,0))),"")</f>
        <v/>
      </c>
      <c r="D71" s="15" t="str">
        <f aca="false">IFERROR(IF(INDEX('Task Log'!$E$2:$E$500,MATCH(67,'Task Log'!$Q$2:$Q$500,0))="","",INDEX('Task Log'!$E$2:$E$500,MATCH(67,'Task Log'!$Q$2:$Q$500,0))),"")</f>
        <v/>
      </c>
      <c r="E71" s="5" t="str">
        <f aca="false">IFERROR(IF(INDEX('Task Log'!$G$2:$G$500,MATCH(67,'Task Log'!$Q$2:$Q$500,0))="","",INDEX('Task Log'!$G$2:$G$500,MATCH(67,'Task Log'!$Q$2:$Q$500,0))),"")</f>
        <v/>
      </c>
      <c r="F71" s="11" t="str">
        <f aca="false">IFERROR(IF(INDEX('Task Log'!$H$2:$H$500,MATCH(67,'Task Log'!$Q$2:$Q$500,0))="","",INDEX('Task Log'!$H$2:$H$500,MATCH(67,'Task Log'!$Q$2:$Q$500,0))),"")</f>
        <v/>
      </c>
      <c r="G71" s="11" t="str">
        <f aca="false">IFERROR(IF(INDEX('Task Log'!$I$2:$I$500,MATCH(67,'Task Log'!$Q$2:$Q$500,0))="","",INDEX('Task Log'!$I$2:$I$500,MATCH(67,'Task Log'!$Q$2:$Q$500,0))),"")</f>
        <v/>
      </c>
      <c r="H71" s="15" t="str">
        <f aca="false">IFERROR(IF(INDEX('Task Log'!$J$2:$J$500,MATCH(67,'Task Log'!$Q$2:$Q$500,0))="","",INDEX('Task Log'!$J$2:$J$500,MATCH(67,'Task Log'!$Q$2:$Q$500,0))),"")</f>
        <v/>
      </c>
      <c r="I71" s="5" t="str">
        <f aca="false">IFERROR(IF(INDEX('Task Log'!$O$2:$O$500,MATCH(67,'Task Log'!$Q$2:$Q$500,0))="","",INDEX('Task Log'!$O$2:$O$500,MATCH(67,'Task Log'!$Q$2:$Q$500,0))),"")</f>
        <v/>
      </c>
      <c r="J71" s="5" t="str">
        <f aca="false">IFERROR(IF(INDEX('Task Log'!$K$2:$K$500,MATCH(67,'Task Log'!$Q$2:$Q$500,0))="","",INDEX('Task Log'!$K$2:$K$500,MATCH(67,'Task Log'!$Q$2:$Q$500,0))),"")</f>
        <v/>
      </c>
      <c r="K71" s="5" t="str">
        <f aca="false">IFERROR(IF(INDEX('Task Log'!$N$2:$N$500,MATCH(67,'Task Log'!$Q$2:$Q$500,0))="","",INDEX('Task Log'!$N$2:$N$500,MATCH(67,'Task Log'!$Q$2:$Q$500,0))),"")</f>
        <v/>
      </c>
      <c r="L71" s="5" t="str">
        <f aca="false">IFERROR(IF(INDEX('Task Log'!$P$2:$P$500,MATCH(67,'Task Log'!$Q$2:$Q$500,0))="","",INDEX('Task Log'!$P$2:$P$500,MATCH(67,'Task Log'!$Q$2:$Q$500,0))),"")</f>
        <v/>
      </c>
    </row>
    <row r="72" customFormat="false" ht="15" hidden="false" customHeight="false" outlineLevel="0" collapsed="false">
      <c r="A72" s="5" t="str">
        <f aca="false">IFERROR(IF(MATCH(68,'Task Log'!$Q$2:$Q$500,0)&gt;0,68,""),"")</f>
        <v/>
      </c>
      <c r="B72" s="15" t="str">
        <f aca="false">IFERROR(IF(INDEX('Task Log'!$C$2:$C$500,MATCH(68,'Task Log'!$Q$2:$Q$500,0))="","",INDEX('Task Log'!$C$2:$C$500,MATCH(68,'Task Log'!$Q$2:$Q$500,0))),"")</f>
        <v/>
      </c>
      <c r="C72" s="15" t="str">
        <f aca="false">IFERROR(IF(INDEX('Task Log'!$D$2:$D$500,MATCH(68,'Task Log'!$Q$2:$Q$500,0))="","",INDEX('Task Log'!$D$2:$D$500,MATCH(68,'Task Log'!$Q$2:$Q$500,0))),"")</f>
        <v/>
      </c>
      <c r="D72" s="15" t="str">
        <f aca="false">IFERROR(IF(INDEX('Task Log'!$E$2:$E$500,MATCH(68,'Task Log'!$Q$2:$Q$500,0))="","",INDEX('Task Log'!$E$2:$E$500,MATCH(68,'Task Log'!$Q$2:$Q$500,0))),"")</f>
        <v/>
      </c>
      <c r="E72" s="5" t="str">
        <f aca="false">IFERROR(IF(INDEX('Task Log'!$G$2:$G$500,MATCH(68,'Task Log'!$Q$2:$Q$500,0))="","",INDEX('Task Log'!$G$2:$G$500,MATCH(68,'Task Log'!$Q$2:$Q$500,0))),"")</f>
        <v/>
      </c>
      <c r="F72" s="11" t="str">
        <f aca="false">IFERROR(IF(INDEX('Task Log'!$H$2:$H$500,MATCH(68,'Task Log'!$Q$2:$Q$500,0))="","",INDEX('Task Log'!$H$2:$H$500,MATCH(68,'Task Log'!$Q$2:$Q$500,0))),"")</f>
        <v/>
      </c>
      <c r="G72" s="11" t="str">
        <f aca="false">IFERROR(IF(INDEX('Task Log'!$I$2:$I$500,MATCH(68,'Task Log'!$Q$2:$Q$500,0))="","",INDEX('Task Log'!$I$2:$I$500,MATCH(68,'Task Log'!$Q$2:$Q$500,0))),"")</f>
        <v/>
      </c>
      <c r="H72" s="15" t="str">
        <f aca="false">IFERROR(IF(INDEX('Task Log'!$J$2:$J$500,MATCH(68,'Task Log'!$Q$2:$Q$500,0))="","",INDEX('Task Log'!$J$2:$J$500,MATCH(68,'Task Log'!$Q$2:$Q$500,0))),"")</f>
        <v/>
      </c>
      <c r="I72" s="5" t="str">
        <f aca="false">IFERROR(IF(INDEX('Task Log'!$O$2:$O$500,MATCH(68,'Task Log'!$Q$2:$Q$500,0))="","",INDEX('Task Log'!$O$2:$O$500,MATCH(68,'Task Log'!$Q$2:$Q$500,0))),"")</f>
        <v/>
      </c>
      <c r="J72" s="5" t="str">
        <f aca="false">IFERROR(IF(INDEX('Task Log'!$K$2:$K$500,MATCH(68,'Task Log'!$Q$2:$Q$500,0))="","",INDEX('Task Log'!$K$2:$K$500,MATCH(68,'Task Log'!$Q$2:$Q$500,0))),"")</f>
        <v/>
      </c>
      <c r="K72" s="5" t="str">
        <f aca="false">IFERROR(IF(INDEX('Task Log'!$N$2:$N$500,MATCH(68,'Task Log'!$Q$2:$Q$500,0))="","",INDEX('Task Log'!$N$2:$N$500,MATCH(68,'Task Log'!$Q$2:$Q$500,0))),"")</f>
        <v/>
      </c>
      <c r="L72" s="5" t="str">
        <f aca="false">IFERROR(IF(INDEX('Task Log'!$P$2:$P$500,MATCH(68,'Task Log'!$Q$2:$Q$500,0))="","",INDEX('Task Log'!$P$2:$P$500,MATCH(68,'Task Log'!$Q$2:$Q$500,0))),"")</f>
        <v/>
      </c>
    </row>
    <row r="73" customFormat="false" ht="15" hidden="false" customHeight="false" outlineLevel="0" collapsed="false">
      <c r="A73" s="5" t="str">
        <f aca="false">IFERROR(IF(MATCH(69,'Task Log'!$Q$2:$Q$500,0)&gt;0,69,""),"")</f>
        <v/>
      </c>
      <c r="B73" s="15" t="str">
        <f aca="false">IFERROR(IF(INDEX('Task Log'!$C$2:$C$500,MATCH(69,'Task Log'!$Q$2:$Q$500,0))="","",INDEX('Task Log'!$C$2:$C$500,MATCH(69,'Task Log'!$Q$2:$Q$500,0))),"")</f>
        <v/>
      </c>
      <c r="C73" s="15" t="str">
        <f aca="false">IFERROR(IF(INDEX('Task Log'!$D$2:$D$500,MATCH(69,'Task Log'!$Q$2:$Q$500,0))="","",INDEX('Task Log'!$D$2:$D$500,MATCH(69,'Task Log'!$Q$2:$Q$500,0))),"")</f>
        <v/>
      </c>
      <c r="D73" s="15" t="str">
        <f aca="false">IFERROR(IF(INDEX('Task Log'!$E$2:$E$500,MATCH(69,'Task Log'!$Q$2:$Q$500,0))="","",INDEX('Task Log'!$E$2:$E$500,MATCH(69,'Task Log'!$Q$2:$Q$500,0))),"")</f>
        <v/>
      </c>
      <c r="E73" s="5" t="str">
        <f aca="false">IFERROR(IF(INDEX('Task Log'!$G$2:$G$500,MATCH(69,'Task Log'!$Q$2:$Q$500,0))="","",INDEX('Task Log'!$G$2:$G$500,MATCH(69,'Task Log'!$Q$2:$Q$500,0))),"")</f>
        <v/>
      </c>
      <c r="F73" s="11" t="str">
        <f aca="false">IFERROR(IF(INDEX('Task Log'!$H$2:$H$500,MATCH(69,'Task Log'!$Q$2:$Q$500,0))="","",INDEX('Task Log'!$H$2:$H$500,MATCH(69,'Task Log'!$Q$2:$Q$500,0))),"")</f>
        <v/>
      </c>
      <c r="G73" s="11" t="str">
        <f aca="false">IFERROR(IF(INDEX('Task Log'!$I$2:$I$500,MATCH(69,'Task Log'!$Q$2:$Q$500,0))="","",INDEX('Task Log'!$I$2:$I$500,MATCH(69,'Task Log'!$Q$2:$Q$500,0))),"")</f>
        <v/>
      </c>
      <c r="H73" s="15" t="str">
        <f aca="false">IFERROR(IF(INDEX('Task Log'!$J$2:$J$500,MATCH(69,'Task Log'!$Q$2:$Q$500,0))="","",INDEX('Task Log'!$J$2:$J$500,MATCH(69,'Task Log'!$Q$2:$Q$500,0))),"")</f>
        <v/>
      </c>
      <c r="I73" s="5" t="str">
        <f aca="false">IFERROR(IF(INDEX('Task Log'!$O$2:$O$500,MATCH(69,'Task Log'!$Q$2:$Q$500,0))="","",INDEX('Task Log'!$O$2:$O$500,MATCH(69,'Task Log'!$Q$2:$Q$500,0))),"")</f>
        <v/>
      </c>
      <c r="J73" s="5" t="str">
        <f aca="false">IFERROR(IF(INDEX('Task Log'!$K$2:$K$500,MATCH(69,'Task Log'!$Q$2:$Q$500,0))="","",INDEX('Task Log'!$K$2:$K$500,MATCH(69,'Task Log'!$Q$2:$Q$500,0))),"")</f>
        <v/>
      </c>
      <c r="K73" s="5" t="str">
        <f aca="false">IFERROR(IF(INDEX('Task Log'!$N$2:$N$500,MATCH(69,'Task Log'!$Q$2:$Q$500,0))="","",INDEX('Task Log'!$N$2:$N$500,MATCH(69,'Task Log'!$Q$2:$Q$500,0))),"")</f>
        <v/>
      </c>
      <c r="L73" s="5" t="str">
        <f aca="false">IFERROR(IF(INDEX('Task Log'!$P$2:$P$500,MATCH(69,'Task Log'!$Q$2:$Q$500,0))="","",INDEX('Task Log'!$P$2:$P$500,MATCH(69,'Task Log'!$Q$2:$Q$500,0))),"")</f>
        <v/>
      </c>
    </row>
    <row r="74" customFormat="false" ht="15" hidden="false" customHeight="false" outlineLevel="0" collapsed="false">
      <c r="A74" s="5" t="str">
        <f aca="false">IFERROR(IF(MATCH(70,'Task Log'!$Q$2:$Q$500,0)&gt;0,70,""),"")</f>
        <v/>
      </c>
      <c r="B74" s="15" t="str">
        <f aca="false">IFERROR(IF(INDEX('Task Log'!$C$2:$C$500,MATCH(70,'Task Log'!$Q$2:$Q$500,0))="","",INDEX('Task Log'!$C$2:$C$500,MATCH(70,'Task Log'!$Q$2:$Q$500,0))),"")</f>
        <v/>
      </c>
      <c r="C74" s="15" t="str">
        <f aca="false">IFERROR(IF(INDEX('Task Log'!$D$2:$D$500,MATCH(70,'Task Log'!$Q$2:$Q$500,0))="","",INDEX('Task Log'!$D$2:$D$500,MATCH(70,'Task Log'!$Q$2:$Q$500,0))),"")</f>
        <v/>
      </c>
      <c r="D74" s="15" t="str">
        <f aca="false">IFERROR(IF(INDEX('Task Log'!$E$2:$E$500,MATCH(70,'Task Log'!$Q$2:$Q$500,0))="","",INDEX('Task Log'!$E$2:$E$500,MATCH(70,'Task Log'!$Q$2:$Q$500,0))),"")</f>
        <v/>
      </c>
      <c r="E74" s="5" t="str">
        <f aca="false">IFERROR(IF(INDEX('Task Log'!$G$2:$G$500,MATCH(70,'Task Log'!$Q$2:$Q$500,0))="","",INDEX('Task Log'!$G$2:$G$500,MATCH(70,'Task Log'!$Q$2:$Q$500,0))),"")</f>
        <v/>
      </c>
      <c r="F74" s="11" t="str">
        <f aca="false">IFERROR(IF(INDEX('Task Log'!$H$2:$H$500,MATCH(70,'Task Log'!$Q$2:$Q$500,0))="","",INDEX('Task Log'!$H$2:$H$500,MATCH(70,'Task Log'!$Q$2:$Q$500,0))),"")</f>
        <v/>
      </c>
      <c r="G74" s="11" t="str">
        <f aca="false">IFERROR(IF(INDEX('Task Log'!$I$2:$I$500,MATCH(70,'Task Log'!$Q$2:$Q$500,0))="","",INDEX('Task Log'!$I$2:$I$500,MATCH(70,'Task Log'!$Q$2:$Q$500,0))),"")</f>
        <v/>
      </c>
      <c r="H74" s="15" t="str">
        <f aca="false">IFERROR(IF(INDEX('Task Log'!$J$2:$J$500,MATCH(70,'Task Log'!$Q$2:$Q$500,0))="","",INDEX('Task Log'!$J$2:$J$500,MATCH(70,'Task Log'!$Q$2:$Q$500,0))),"")</f>
        <v/>
      </c>
      <c r="I74" s="5" t="str">
        <f aca="false">IFERROR(IF(INDEX('Task Log'!$O$2:$O$500,MATCH(70,'Task Log'!$Q$2:$Q$500,0))="","",INDEX('Task Log'!$O$2:$O$500,MATCH(70,'Task Log'!$Q$2:$Q$500,0))),"")</f>
        <v/>
      </c>
      <c r="J74" s="5" t="str">
        <f aca="false">IFERROR(IF(INDEX('Task Log'!$K$2:$K$500,MATCH(70,'Task Log'!$Q$2:$Q$500,0))="","",INDEX('Task Log'!$K$2:$K$500,MATCH(70,'Task Log'!$Q$2:$Q$500,0))),"")</f>
        <v/>
      </c>
      <c r="K74" s="5" t="str">
        <f aca="false">IFERROR(IF(INDEX('Task Log'!$N$2:$N$500,MATCH(70,'Task Log'!$Q$2:$Q$500,0))="","",INDEX('Task Log'!$N$2:$N$500,MATCH(70,'Task Log'!$Q$2:$Q$500,0))),"")</f>
        <v/>
      </c>
      <c r="L74" s="5" t="str">
        <f aca="false">IFERROR(IF(INDEX('Task Log'!$P$2:$P$500,MATCH(70,'Task Log'!$Q$2:$Q$500,0))="","",INDEX('Task Log'!$P$2:$P$500,MATCH(70,'Task Log'!$Q$2:$Q$500,0))),"")</f>
        <v/>
      </c>
    </row>
    <row r="75" customFormat="false" ht="15" hidden="false" customHeight="false" outlineLevel="0" collapsed="false">
      <c r="A75" s="5" t="str">
        <f aca="false">IFERROR(IF(MATCH(71,'Task Log'!$Q$2:$Q$500,0)&gt;0,71,""),"")</f>
        <v/>
      </c>
      <c r="B75" s="15" t="str">
        <f aca="false">IFERROR(IF(INDEX('Task Log'!$C$2:$C$500,MATCH(71,'Task Log'!$Q$2:$Q$500,0))="","",INDEX('Task Log'!$C$2:$C$500,MATCH(71,'Task Log'!$Q$2:$Q$500,0))),"")</f>
        <v/>
      </c>
      <c r="C75" s="15" t="str">
        <f aca="false">IFERROR(IF(INDEX('Task Log'!$D$2:$D$500,MATCH(71,'Task Log'!$Q$2:$Q$500,0))="","",INDEX('Task Log'!$D$2:$D$500,MATCH(71,'Task Log'!$Q$2:$Q$500,0))),"")</f>
        <v/>
      </c>
      <c r="D75" s="15" t="str">
        <f aca="false">IFERROR(IF(INDEX('Task Log'!$E$2:$E$500,MATCH(71,'Task Log'!$Q$2:$Q$500,0))="","",INDEX('Task Log'!$E$2:$E$500,MATCH(71,'Task Log'!$Q$2:$Q$500,0))),"")</f>
        <v/>
      </c>
      <c r="E75" s="5" t="str">
        <f aca="false">IFERROR(IF(INDEX('Task Log'!$G$2:$G$500,MATCH(71,'Task Log'!$Q$2:$Q$500,0))="","",INDEX('Task Log'!$G$2:$G$500,MATCH(71,'Task Log'!$Q$2:$Q$500,0))),"")</f>
        <v/>
      </c>
      <c r="F75" s="11" t="str">
        <f aca="false">IFERROR(IF(INDEX('Task Log'!$H$2:$H$500,MATCH(71,'Task Log'!$Q$2:$Q$500,0))="","",INDEX('Task Log'!$H$2:$H$500,MATCH(71,'Task Log'!$Q$2:$Q$500,0))),"")</f>
        <v/>
      </c>
      <c r="G75" s="11" t="str">
        <f aca="false">IFERROR(IF(INDEX('Task Log'!$I$2:$I$500,MATCH(71,'Task Log'!$Q$2:$Q$500,0))="","",INDEX('Task Log'!$I$2:$I$500,MATCH(71,'Task Log'!$Q$2:$Q$500,0))),"")</f>
        <v/>
      </c>
      <c r="H75" s="15" t="str">
        <f aca="false">IFERROR(IF(INDEX('Task Log'!$J$2:$J$500,MATCH(71,'Task Log'!$Q$2:$Q$500,0))="","",INDEX('Task Log'!$J$2:$J$500,MATCH(71,'Task Log'!$Q$2:$Q$500,0))),"")</f>
        <v/>
      </c>
      <c r="I75" s="5" t="str">
        <f aca="false">IFERROR(IF(INDEX('Task Log'!$O$2:$O$500,MATCH(71,'Task Log'!$Q$2:$Q$500,0))="","",INDEX('Task Log'!$O$2:$O$500,MATCH(71,'Task Log'!$Q$2:$Q$500,0))),"")</f>
        <v/>
      </c>
      <c r="J75" s="5" t="str">
        <f aca="false">IFERROR(IF(INDEX('Task Log'!$K$2:$K$500,MATCH(71,'Task Log'!$Q$2:$Q$500,0))="","",INDEX('Task Log'!$K$2:$K$500,MATCH(71,'Task Log'!$Q$2:$Q$500,0))),"")</f>
        <v/>
      </c>
      <c r="K75" s="5" t="str">
        <f aca="false">IFERROR(IF(INDEX('Task Log'!$N$2:$N$500,MATCH(71,'Task Log'!$Q$2:$Q$500,0))="","",INDEX('Task Log'!$N$2:$N$500,MATCH(71,'Task Log'!$Q$2:$Q$500,0))),"")</f>
        <v/>
      </c>
      <c r="L75" s="5" t="str">
        <f aca="false">IFERROR(IF(INDEX('Task Log'!$P$2:$P$500,MATCH(71,'Task Log'!$Q$2:$Q$500,0))="","",INDEX('Task Log'!$P$2:$P$500,MATCH(71,'Task Log'!$Q$2:$Q$500,0))),"")</f>
        <v/>
      </c>
    </row>
    <row r="76" customFormat="false" ht="15" hidden="false" customHeight="false" outlineLevel="0" collapsed="false">
      <c r="A76" s="5" t="str">
        <f aca="false">IFERROR(IF(MATCH(72,'Task Log'!$Q$2:$Q$500,0)&gt;0,72,""),"")</f>
        <v/>
      </c>
      <c r="B76" s="15" t="str">
        <f aca="false">IFERROR(IF(INDEX('Task Log'!$C$2:$C$500,MATCH(72,'Task Log'!$Q$2:$Q$500,0))="","",INDEX('Task Log'!$C$2:$C$500,MATCH(72,'Task Log'!$Q$2:$Q$500,0))),"")</f>
        <v/>
      </c>
      <c r="C76" s="15" t="str">
        <f aca="false">IFERROR(IF(INDEX('Task Log'!$D$2:$D$500,MATCH(72,'Task Log'!$Q$2:$Q$500,0))="","",INDEX('Task Log'!$D$2:$D$500,MATCH(72,'Task Log'!$Q$2:$Q$500,0))),"")</f>
        <v/>
      </c>
      <c r="D76" s="15" t="str">
        <f aca="false">IFERROR(IF(INDEX('Task Log'!$E$2:$E$500,MATCH(72,'Task Log'!$Q$2:$Q$500,0))="","",INDEX('Task Log'!$E$2:$E$500,MATCH(72,'Task Log'!$Q$2:$Q$500,0))),"")</f>
        <v/>
      </c>
      <c r="E76" s="5" t="str">
        <f aca="false">IFERROR(IF(INDEX('Task Log'!$G$2:$G$500,MATCH(72,'Task Log'!$Q$2:$Q$500,0))="","",INDEX('Task Log'!$G$2:$G$500,MATCH(72,'Task Log'!$Q$2:$Q$500,0))),"")</f>
        <v/>
      </c>
      <c r="F76" s="11" t="str">
        <f aca="false">IFERROR(IF(INDEX('Task Log'!$H$2:$H$500,MATCH(72,'Task Log'!$Q$2:$Q$500,0))="","",INDEX('Task Log'!$H$2:$H$500,MATCH(72,'Task Log'!$Q$2:$Q$500,0))),"")</f>
        <v/>
      </c>
      <c r="G76" s="11" t="str">
        <f aca="false">IFERROR(IF(INDEX('Task Log'!$I$2:$I$500,MATCH(72,'Task Log'!$Q$2:$Q$500,0))="","",INDEX('Task Log'!$I$2:$I$500,MATCH(72,'Task Log'!$Q$2:$Q$500,0))),"")</f>
        <v/>
      </c>
      <c r="H76" s="15" t="str">
        <f aca="false">IFERROR(IF(INDEX('Task Log'!$J$2:$J$500,MATCH(72,'Task Log'!$Q$2:$Q$500,0))="","",INDEX('Task Log'!$J$2:$J$500,MATCH(72,'Task Log'!$Q$2:$Q$500,0))),"")</f>
        <v/>
      </c>
      <c r="I76" s="5" t="str">
        <f aca="false">IFERROR(IF(INDEX('Task Log'!$O$2:$O$500,MATCH(72,'Task Log'!$Q$2:$Q$500,0))="","",INDEX('Task Log'!$O$2:$O$500,MATCH(72,'Task Log'!$Q$2:$Q$500,0))),"")</f>
        <v/>
      </c>
      <c r="J76" s="5" t="str">
        <f aca="false">IFERROR(IF(INDEX('Task Log'!$K$2:$K$500,MATCH(72,'Task Log'!$Q$2:$Q$500,0))="","",INDEX('Task Log'!$K$2:$K$500,MATCH(72,'Task Log'!$Q$2:$Q$500,0))),"")</f>
        <v/>
      </c>
      <c r="K76" s="5" t="str">
        <f aca="false">IFERROR(IF(INDEX('Task Log'!$N$2:$N$500,MATCH(72,'Task Log'!$Q$2:$Q$500,0))="","",INDEX('Task Log'!$N$2:$N$500,MATCH(72,'Task Log'!$Q$2:$Q$500,0))),"")</f>
        <v/>
      </c>
      <c r="L76" s="5" t="str">
        <f aca="false">IFERROR(IF(INDEX('Task Log'!$P$2:$P$500,MATCH(72,'Task Log'!$Q$2:$Q$500,0))="","",INDEX('Task Log'!$P$2:$P$500,MATCH(72,'Task Log'!$Q$2:$Q$500,0))),"")</f>
        <v/>
      </c>
    </row>
    <row r="77" customFormat="false" ht="15" hidden="false" customHeight="false" outlineLevel="0" collapsed="false">
      <c r="A77" s="5" t="str">
        <f aca="false">IFERROR(IF(MATCH(73,'Task Log'!$Q$2:$Q$500,0)&gt;0,73,""),"")</f>
        <v/>
      </c>
      <c r="B77" s="15" t="str">
        <f aca="false">IFERROR(IF(INDEX('Task Log'!$C$2:$C$500,MATCH(73,'Task Log'!$Q$2:$Q$500,0))="","",INDEX('Task Log'!$C$2:$C$500,MATCH(73,'Task Log'!$Q$2:$Q$500,0))),"")</f>
        <v/>
      </c>
      <c r="C77" s="15" t="str">
        <f aca="false">IFERROR(IF(INDEX('Task Log'!$D$2:$D$500,MATCH(73,'Task Log'!$Q$2:$Q$500,0))="","",INDEX('Task Log'!$D$2:$D$500,MATCH(73,'Task Log'!$Q$2:$Q$500,0))),"")</f>
        <v/>
      </c>
      <c r="D77" s="15" t="str">
        <f aca="false">IFERROR(IF(INDEX('Task Log'!$E$2:$E$500,MATCH(73,'Task Log'!$Q$2:$Q$500,0))="","",INDEX('Task Log'!$E$2:$E$500,MATCH(73,'Task Log'!$Q$2:$Q$500,0))),"")</f>
        <v/>
      </c>
      <c r="E77" s="5" t="str">
        <f aca="false">IFERROR(IF(INDEX('Task Log'!$G$2:$G$500,MATCH(73,'Task Log'!$Q$2:$Q$500,0))="","",INDEX('Task Log'!$G$2:$G$500,MATCH(73,'Task Log'!$Q$2:$Q$500,0))),"")</f>
        <v/>
      </c>
      <c r="F77" s="11" t="str">
        <f aca="false">IFERROR(IF(INDEX('Task Log'!$H$2:$H$500,MATCH(73,'Task Log'!$Q$2:$Q$500,0))="","",INDEX('Task Log'!$H$2:$H$500,MATCH(73,'Task Log'!$Q$2:$Q$500,0))),"")</f>
        <v/>
      </c>
      <c r="G77" s="11" t="str">
        <f aca="false">IFERROR(IF(INDEX('Task Log'!$I$2:$I$500,MATCH(73,'Task Log'!$Q$2:$Q$500,0))="","",INDEX('Task Log'!$I$2:$I$500,MATCH(73,'Task Log'!$Q$2:$Q$500,0))),"")</f>
        <v/>
      </c>
      <c r="H77" s="15" t="str">
        <f aca="false">IFERROR(IF(INDEX('Task Log'!$J$2:$J$500,MATCH(73,'Task Log'!$Q$2:$Q$500,0))="","",INDEX('Task Log'!$J$2:$J$500,MATCH(73,'Task Log'!$Q$2:$Q$500,0))),"")</f>
        <v/>
      </c>
      <c r="I77" s="5" t="str">
        <f aca="false">IFERROR(IF(INDEX('Task Log'!$O$2:$O$500,MATCH(73,'Task Log'!$Q$2:$Q$500,0))="","",INDEX('Task Log'!$O$2:$O$500,MATCH(73,'Task Log'!$Q$2:$Q$500,0))),"")</f>
        <v/>
      </c>
      <c r="J77" s="5" t="str">
        <f aca="false">IFERROR(IF(INDEX('Task Log'!$K$2:$K$500,MATCH(73,'Task Log'!$Q$2:$Q$500,0))="","",INDEX('Task Log'!$K$2:$K$500,MATCH(73,'Task Log'!$Q$2:$Q$500,0))),"")</f>
        <v/>
      </c>
      <c r="K77" s="5" t="str">
        <f aca="false">IFERROR(IF(INDEX('Task Log'!$N$2:$N$500,MATCH(73,'Task Log'!$Q$2:$Q$500,0))="","",INDEX('Task Log'!$N$2:$N$500,MATCH(73,'Task Log'!$Q$2:$Q$500,0))),"")</f>
        <v/>
      </c>
      <c r="L77" s="5" t="str">
        <f aca="false">IFERROR(IF(INDEX('Task Log'!$P$2:$P$500,MATCH(73,'Task Log'!$Q$2:$Q$500,0))="","",INDEX('Task Log'!$P$2:$P$500,MATCH(73,'Task Log'!$Q$2:$Q$500,0))),"")</f>
        <v/>
      </c>
    </row>
    <row r="78" customFormat="false" ht="15" hidden="false" customHeight="false" outlineLevel="0" collapsed="false">
      <c r="A78" s="5" t="str">
        <f aca="false">IFERROR(IF(MATCH(74,'Task Log'!$Q$2:$Q$500,0)&gt;0,74,""),"")</f>
        <v/>
      </c>
      <c r="B78" s="15" t="str">
        <f aca="false">IFERROR(IF(INDEX('Task Log'!$C$2:$C$500,MATCH(74,'Task Log'!$Q$2:$Q$500,0))="","",INDEX('Task Log'!$C$2:$C$500,MATCH(74,'Task Log'!$Q$2:$Q$500,0))),"")</f>
        <v/>
      </c>
      <c r="C78" s="15" t="str">
        <f aca="false">IFERROR(IF(INDEX('Task Log'!$D$2:$D$500,MATCH(74,'Task Log'!$Q$2:$Q$500,0))="","",INDEX('Task Log'!$D$2:$D$500,MATCH(74,'Task Log'!$Q$2:$Q$500,0))),"")</f>
        <v/>
      </c>
      <c r="D78" s="15" t="str">
        <f aca="false">IFERROR(IF(INDEX('Task Log'!$E$2:$E$500,MATCH(74,'Task Log'!$Q$2:$Q$500,0))="","",INDEX('Task Log'!$E$2:$E$500,MATCH(74,'Task Log'!$Q$2:$Q$500,0))),"")</f>
        <v/>
      </c>
      <c r="E78" s="5" t="str">
        <f aca="false">IFERROR(IF(INDEX('Task Log'!$G$2:$G$500,MATCH(74,'Task Log'!$Q$2:$Q$500,0))="","",INDEX('Task Log'!$G$2:$G$500,MATCH(74,'Task Log'!$Q$2:$Q$500,0))),"")</f>
        <v/>
      </c>
      <c r="F78" s="11" t="str">
        <f aca="false">IFERROR(IF(INDEX('Task Log'!$H$2:$H$500,MATCH(74,'Task Log'!$Q$2:$Q$500,0))="","",INDEX('Task Log'!$H$2:$H$500,MATCH(74,'Task Log'!$Q$2:$Q$500,0))),"")</f>
        <v/>
      </c>
      <c r="G78" s="11" t="str">
        <f aca="false">IFERROR(IF(INDEX('Task Log'!$I$2:$I$500,MATCH(74,'Task Log'!$Q$2:$Q$500,0))="","",INDEX('Task Log'!$I$2:$I$500,MATCH(74,'Task Log'!$Q$2:$Q$500,0))),"")</f>
        <v/>
      </c>
      <c r="H78" s="15" t="str">
        <f aca="false">IFERROR(IF(INDEX('Task Log'!$J$2:$J$500,MATCH(74,'Task Log'!$Q$2:$Q$500,0))="","",INDEX('Task Log'!$J$2:$J$500,MATCH(74,'Task Log'!$Q$2:$Q$500,0))),"")</f>
        <v/>
      </c>
      <c r="I78" s="5" t="str">
        <f aca="false">IFERROR(IF(INDEX('Task Log'!$O$2:$O$500,MATCH(74,'Task Log'!$Q$2:$Q$500,0))="","",INDEX('Task Log'!$O$2:$O$500,MATCH(74,'Task Log'!$Q$2:$Q$500,0))),"")</f>
        <v/>
      </c>
      <c r="J78" s="5" t="str">
        <f aca="false">IFERROR(IF(INDEX('Task Log'!$K$2:$K$500,MATCH(74,'Task Log'!$Q$2:$Q$500,0))="","",INDEX('Task Log'!$K$2:$K$500,MATCH(74,'Task Log'!$Q$2:$Q$500,0))),"")</f>
        <v/>
      </c>
      <c r="K78" s="5" t="str">
        <f aca="false">IFERROR(IF(INDEX('Task Log'!$N$2:$N$500,MATCH(74,'Task Log'!$Q$2:$Q$500,0))="","",INDEX('Task Log'!$N$2:$N$500,MATCH(74,'Task Log'!$Q$2:$Q$500,0))),"")</f>
        <v/>
      </c>
      <c r="L78" s="5" t="str">
        <f aca="false">IFERROR(IF(INDEX('Task Log'!$P$2:$P$500,MATCH(74,'Task Log'!$Q$2:$Q$500,0))="","",INDEX('Task Log'!$P$2:$P$500,MATCH(74,'Task Log'!$Q$2:$Q$500,0))),"")</f>
        <v/>
      </c>
    </row>
    <row r="79" customFormat="false" ht="15" hidden="false" customHeight="false" outlineLevel="0" collapsed="false">
      <c r="A79" s="5" t="str">
        <f aca="false">IFERROR(IF(MATCH(75,'Task Log'!$Q$2:$Q$500,0)&gt;0,75,""),"")</f>
        <v/>
      </c>
      <c r="B79" s="15" t="str">
        <f aca="false">IFERROR(IF(INDEX('Task Log'!$C$2:$C$500,MATCH(75,'Task Log'!$Q$2:$Q$500,0))="","",INDEX('Task Log'!$C$2:$C$500,MATCH(75,'Task Log'!$Q$2:$Q$500,0))),"")</f>
        <v/>
      </c>
      <c r="C79" s="15" t="str">
        <f aca="false">IFERROR(IF(INDEX('Task Log'!$D$2:$D$500,MATCH(75,'Task Log'!$Q$2:$Q$500,0))="","",INDEX('Task Log'!$D$2:$D$500,MATCH(75,'Task Log'!$Q$2:$Q$500,0))),"")</f>
        <v/>
      </c>
      <c r="D79" s="15" t="str">
        <f aca="false">IFERROR(IF(INDEX('Task Log'!$E$2:$E$500,MATCH(75,'Task Log'!$Q$2:$Q$500,0))="","",INDEX('Task Log'!$E$2:$E$500,MATCH(75,'Task Log'!$Q$2:$Q$500,0))),"")</f>
        <v/>
      </c>
      <c r="E79" s="5" t="str">
        <f aca="false">IFERROR(IF(INDEX('Task Log'!$G$2:$G$500,MATCH(75,'Task Log'!$Q$2:$Q$500,0))="","",INDEX('Task Log'!$G$2:$G$500,MATCH(75,'Task Log'!$Q$2:$Q$500,0))),"")</f>
        <v/>
      </c>
      <c r="F79" s="11" t="str">
        <f aca="false">IFERROR(IF(INDEX('Task Log'!$H$2:$H$500,MATCH(75,'Task Log'!$Q$2:$Q$500,0))="","",INDEX('Task Log'!$H$2:$H$500,MATCH(75,'Task Log'!$Q$2:$Q$500,0))),"")</f>
        <v/>
      </c>
      <c r="G79" s="11" t="str">
        <f aca="false">IFERROR(IF(INDEX('Task Log'!$I$2:$I$500,MATCH(75,'Task Log'!$Q$2:$Q$500,0))="","",INDEX('Task Log'!$I$2:$I$500,MATCH(75,'Task Log'!$Q$2:$Q$500,0))),"")</f>
        <v/>
      </c>
      <c r="H79" s="15" t="str">
        <f aca="false">IFERROR(IF(INDEX('Task Log'!$J$2:$J$500,MATCH(75,'Task Log'!$Q$2:$Q$500,0))="","",INDEX('Task Log'!$J$2:$J$500,MATCH(75,'Task Log'!$Q$2:$Q$500,0))),"")</f>
        <v/>
      </c>
      <c r="I79" s="5" t="str">
        <f aca="false">IFERROR(IF(INDEX('Task Log'!$O$2:$O$500,MATCH(75,'Task Log'!$Q$2:$Q$500,0))="","",INDEX('Task Log'!$O$2:$O$500,MATCH(75,'Task Log'!$Q$2:$Q$500,0))),"")</f>
        <v/>
      </c>
      <c r="J79" s="5" t="str">
        <f aca="false">IFERROR(IF(INDEX('Task Log'!$K$2:$K$500,MATCH(75,'Task Log'!$Q$2:$Q$500,0))="","",INDEX('Task Log'!$K$2:$K$500,MATCH(75,'Task Log'!$Q$2:$Q$500,0))),"")</f>
        <v/>
      </c>
      <c r="K79" s="5" t="str">
        <f aca="false">IFERROR(IF(INDEX('Task Log'!$N$2:$N$500,MATCH(75,'Task Log'!$Q$2:$Q$500,0))="","",INDEX('Task Log'!$N$2:$N$500,MATCH(75,'Task Log'!$Q$2:$Q$500,0))),"")</f>
        <v/>
      </c>
      <c r="L79" s="5" t="str">
        <f aca="false">IFERROR(IF(INDEX('Task Log'!$P$2:$P$500,MATCH(75,'Task Log'!$Q$2:$Q$500,0))="","",INDEX('Task Log'!$P$2:$P$500,MATCH(75,'Task Log'!$Q$2:$Q$500,0))),"")</f>
        <v/>
      </c>
    </row>
    <row r="80" customFormat="false" ht="15" hidden="false" customHeight="false" outlineLevel="0" collapsed="false">
      <c r="A80" s="5" t="str">
        <f aca="false">IFERROR(IF(MATCH(76,'Task Log'!$Q$2:$Q$500,0)&gt;0,76,""),"")</f>
        <v/>
      </c>
      <c r="B80" s="15" t="str">
        <f aca="false">IFERROR(IF(INDEX('Task Log'!$C$2:$C$500,MATCH(76,'Task Log'!$Q$2:$Q$500,0))="","",INDEX('Task Log'!$C$2:$C$500,MATCH(76,'Task Log'!$Q$2:$Q$500,0))),"")</f>
        <v/>
      </c>
      <c r="C80" s="15" t="str">
        <f aca="false">IFERROR(IF(INDEX('Task Log'!$D$2:$D$500,MATCH(76,'Task Log'!$Q$2:$Q$500,0))="","",INDEX('Task Log'!$D$2:$D$500,MATCH(76,'Task Log'!$Q$2:$Q$500,0))),"")</f>
        <v/>
      </c>
      <c r="D80" s="15" t="str">
        <f aca="false">IFERROR(IF(INDEX('Task Log'!$E$2:$E$500,MATCH(76,'Task Log'!$Q$2:$Q$500,0))="","",INDEX('Task Log'!$E$2:$E$500,MATCH(76,'Task Log'!$Q$2:$Q$500,0))),"")</f>
        <v/>
      </c>
      <c r="E80" s="5" t="str">
        <f aca="false">IFERROR(IF(INDEX('Task Log'!$G$2:$G$500,MATCH(76,'Task Log'!$Q$2:$Q$500,0))="","",INDEX('Task Log'!$G$2:$G$500,MATCH(76,'Task Log'!$Q$2:$Q$500,0))),"")</f>
        <v/>
      </c>
      <c r="F80" s="11" t="str">
        <f aca="false">IFERROR(IF(INDEX('Task Log'!$H$2:$H$500,MATCH(76,'Task Log'!$Q$2:$Q$500,0))="","",INDEX('Task Log'!$H$2:$H$500,MATCH(76,'Task Log'!$Q$2:$Q$500,0))),"")</f>
        <v/>
      </c>
      <c r="G80" s="11" t="str">
        <f aca="false">IFERROR(IF(INDEX('Task Log'!$I$2:$I$500,MATCH(76,'Task Log'!$Q$2:$Q$500,0))="","",INDEX('Task Log'!$I$2:$I$500,MATCH(76,'Task Log'!$Q$2:$Q$500,0))),"")</f>
        <v/>
      </c>
      <c r="H80" s="15" t="str">
        <f aca="false">IFERROR(IF(INDEX('Task Log'!$J$2:$J$500,MATCH(76,'Task Log'!$Q$2:$Q$500,0))="","",INDEX('Task Log'!$J$2:$J$500,MATCH(76,'Task Log'!$Q$2:$Q$500,0))),"")</f>
        <v/>
      </c>
      <c r="I80" s="5" t="str">
        <f aca="false">IFERROR(IF(INDEX('Task Log'!$O$2:$O$500,MATCH(76,'Task Log'!$Q$2:$Q$500,0))="","",INDEX('Task Log'!$O$2:$O$500,MATCH(76,'Task Log'!$Q$2:$Q$500,0))),"")</f>
        <v/>
      </c>
      <c r="J80" s="5" t="str">
        <f aca="false">IFERROR(IF(INDEX('Task Log'!$K$2:$K$500,MATCH(76,'Task Log'!$Q$2:$Q$500,0))="","",INDEX('Task Log'!$K$2:$K$500,MATCH(76,'Task Log'!$Q$2:$Q$500,0))),"")</f>
        <v/>
      </c>
      <c r="K80" s="5" t="str">
        <f aca="false">IFERROR(IF(INDEX('Task Log'!$N$2:$N$500,MATCH(76,'Task Log'!$Q$2:$Q$500,0))="","",INDEX('Task Log'!$N$2:$N$500,MATCH(76,'Task Log'!$Q$2:$Q$500,0))),"")</f>
        <v/>
      </c>
      <c r="L80" s="5" t="str">
        <f aca="false">IFERROR(IF(INDEX('Task Log'!$P$2:$P$500,MATCH(76,'Task Log'!$Q$2:$Q$500,0))="","",INDEX('Task Log'!$P$2:$P$500,MATCH(76,'Task Log'!$Q$2:$Q$500,0))),"")</f>
        <v/>
      </c>
    </row>
    <row r="81" customFormat="false" ht="15" hidden="false" customHeight="false" outlineLevel="0" collapsed="false">
      <c r="A81" s="5" t="str">
        <f aca="false">IFERROR(IF(MATCH(77,'Task Log'!$Q$2:$Q$500,0)&gt;0,77,""),"")</f>
        <v/>
      </c>
      <c r="B81" s="15" t="str">
        <f aca="false">IFERROR(IF(INDEX('Task Log'!$C$2:$C$500,MATCH(77,'Task Log'!$Q$2:$Q$500,0))="","",INDEX('Task Log'!$C$2:$C$500,MATCH(77,'Task Log'!$Q$2:$Q$500,0))),"")</f>
        <v/>
      </c>
      <c r="C81" s="15" t="str">
        <f aca="false">IFERROR(IF(INDEX('Task Log'!$D$2:$D$500,MATCH(77,'Task Log'!$Q$2:$Q$500,0))="","",INDEX('Task Log'!$D$2:$D$500,MATCH(77,'Task Log'!$Q$2:$Q$500,0))),"")</f>
        <v/>
      </c>
      <c r="D81" s="15" t="str">
        <f aca="false">IFERROR(IF(INDEX('Task Log'!$E$2:$E$500,MATCH(77,'Task Log'!$Q$2:$Q$500,0))="","",INDEX('Task Log'!$E$2:$E$500,MATCH(77,'Task Log'!$Q$2:$Q$500,0))),"")</f>
        <v/>
      </c>
      <c r="E81" s="5" t="str">
        <f aca="false">IFERROR(IF(INDEX('Task Log'!$G$2:$G$500,MATCH(77,'Task Log'!$Q$2:$Q$500,0))="","",INDEX('Task Log'!$G$2:$G$500,MATCH(77,'Task Log'!$Q$2:$Q$500,0))),"")</f>
        <v/>
      </c>
      <c r="F81" s="11" t="str">
        <f aca="false">IFERROR(IF(INDEX('Task Log'!$H$2:$H$500,MATCH(77,'Task Log'!$Q$2:$Q$500,0))="","",INDEX('Task Log'!$H$2:$H$500,MATCH(77,'Task Log'!$Q$2:$Q$500,0))),"")</f>
        <v/>
      </c>
      <c r="G81" s="11" t="str">
        <f aca="false">IFERROR(IF(INDEX('Task Log'!$I$2:$I$500,MATCH(77,'Task Log'!$Q$2:$Q$500,0))="","",INDEX('Task Log'!$I$2:$I$500,MATCH(77,'Task Log'!$Q$2:$Q$500,0))),"")</f>
        <v/>
      </c>
      <c r="H81" s="15" t="str">
        <f aca="false">IFERROR(IF(INDEX('Task Log'!$J$2:$J$500,MATCH(77,'Task Log'!$Q$2:$Q$500,0))="","",INDEX('Task Log'!$J$2:$J$500,MATCH(77,'Task Log'!$Q$2:$Q$500,0))),"")</f>
        <v/>
      </c>
      <c r="I81" s="5" t="str">
        <f aca="false">IFERROR(IF(INDEX('Task Log'!$O$2:$O$500,MATCH(77,'Task Log'!$Q$2:$Q$500,0))="","",INDEX('Task Log'!$O$2:$O$500,MATCH(77,'Task Log'!$Q$2:$Q$500,0))),"")</f>
        <v/>
      </c>
      <c r="J81" s="5" t="str">
        <f aca="false">IFERROR(IF(INDEX('Task Log'!$K$2:$K$500,MATCH(77,'Task Log'!$Q$2:$Q$500,0))="","",INDEX('Task Log'!$K$2:$K$500,MATCH(77,'Task Log'!$Q$2:$Q$500,0))),"")</f>
        <v/>
      </c>
      <c r="K81" s="5" t="str">
        <f aca="false">IFERROR(IF(INDEX('Task Log'!$N$2:$N$500,MATCH(77,'Task Log'!$Q$2:$Q$500,0))="","",INDEX('Task Log'!$N$2:$N$500,MATCH(77,'Task Log'!$Q$2:$Q$500,0))),"")</f>
        <v/>
      </c>
      <c r="L81" s="5" t="str">
        <f aca="false">IFERROR(IF(INDEX('Task Log'!$P$2:$P$500,MATCH(77,'Task Log'!$Q$2:$Q$500,0))="","",INDEX('Task Log'!$P$2:$P$500,MATCH(77,'Task Log'!$Q$2:$Q$500,0))),"")</f>
        <v/>
      </c>
    </row>
    <row r="82" customFormat="false" ht="15" hidden="false" customHeight="false" outlineLevel="0" collapsed="false">
      <c r="A82" s="5" t="str">
        <f aca="false">IFERROR(IF(MATCH(78,'Task Log'!$Q$2:$Q$500,0)&gt;0,78,""),"")</f>
        <v/>
      </c>
      <c r="B82" s="15" t="str">
        <f aca="false">IFERROR(IF(INDEX('Task Log'!$C$2:$C$500,MATCH(78,'Task Log'!$Q$2:$Q$500,0))="","",INDEX('Task Log'!$C$2:$C$500,MATCH(78,'Task Log'!$Q$2:$Q$500,0))),"")</f>
        <v/>
      </c>
      <c r="C82" s="15" t="str">
        <f aca="false">IFERROR(IF(INDEX('Task Log'!$D$2:$D$500,MATCH(78,'Task Log'!$Q$2:$Q$500,0))="","",INDEX('Task Log'!$D$2:$D$500,MATCH(78,'Task Log'!$Q$2:$Q$500,0))),"")</f>
        <v/>
      </c>
      <c r="D82" s="15" t="str">
        <f aca="false">IFERROR(IF(INDEX('Task Log'!$E$2:$E$500,MATCH(78,'Task Log'!$Q$2:$Q$500,0))="","",INDEX('Task Log'!$E$2:$E$500,MATCH(78,'Task Log'!$Q$2:$Q$500,0))),"")</f>
        <v/>
      </c>
      <c r="E82" s="5" t="str">
        <f aca="false">IFERROR(IF(INDEX('Task Log'!$G$2:$G$500,MATCH(78,'Task Log'!$Q$2:$Q$500,0))="","",INDEX('Task Log'!$G$2:$G$500,MATCH(78,'Task Log'!$Q$2:$Q$500,0))),"")</f>
        <v/>
      </c>
      <c r="F82" s="11" t="str">
        <f aca="false">IFERROR(IF(INDEX('Task Log'!$H$2:$H$500,MATCH(78,'Task Log'!$Q$2:$Q$500,0))="","",INDEX('Task Log'!$H$2:$H$500,MATCH(78,'Task Log'!$Q$2:$Q$500,0))),"")</f>
        <v/>
      </c>
      <c r="G82" s="11" t="str">
        <f aca="false">IFERROR(IF(INDEX('Task Log'!$I$2:$I$500,MATCH(78,'Task Log'!$Q$2:$Q$500,0))="","",INDEX('Task Log'!$I$2:$I$500,MATCH(78,'Task Log'!$Q$2:$Q$500,0))),"")</f>
        <v/>
      </c>
      <c r="H82" s="15" t="str">
        <f aca="false">IFERROR(IF(INDEX('Task Log'!$J$2:$J$500,MATCH(78,'Task Log'!$Q$2:$Q$500,0))="","",INDEX('Task Log'!$J$2:$J$500,MATCH(78,'Task Log'!$Q$2:$Q$500,0))),"")</f>
        <v/>
      </c>
      <c r="I82" s="5" t="str">
        <f aca="false">IFERROR(IF(INDEX('Task Log'!$O$2:$O$500,MATCH(78,'Task Log'!$Q$2:$Q$500,0))="","",INDEX('Task Log'!$O$2:$O$500,MATCH(78,'Task Log'!$Q$2:$Q$500,0))),"")</f>
        <v/>
      </c>
      <c r="J82" s="5" t="str">
        <f aca="false">IFERROR(IF(INDEX('Task Log'!$K$2:$K$500,MATCH(78,'Task Log'!$Q$2:$Q$500,0))="","",INDEX('Task Log'!$K$2:$K$500,MATCH(78,'Task Log'!$Q$2:$Q$500,0))),"")</f>
        <v/>
      </c>
      <c r="K82" s="5" t="str">
        <f aca="false">IFERROR(IF(INDEX('Task Log'!$N$2:$N$500,MATCH(78,'Task Log'!$Q$2:$Q$500,0))="","",INDEX('Task Log'!$N$2:$N$500,MATCH(78,'Task Log'!$Q$2:$Q$500,0))),"")</f>
        <v/>
      </c>
      <c r="L82" s="5" t="str">
        <f aca="false">IFERROR(IF(INDEX('Task Log'!$P$2:$P$500,MATCH(78,'Task Log'!$Q$2:$Q$500,0))="","",INDEX('Task Log'!$P$2:$P$500,MATCH(78,'Task Log'!$Q$2:$Q$500,0))),"")</f>
        <v/>
      </c>
    </row>
    <row r="83" customFormat="false" ht="15" hidden="false" customHeight="false" outlineLevel="0" collapsed="false">
      <c r="A83" s="5" t="str">
        <f aca="false">IFERROR(IF(MATCH(79,'Task Log'!$Q$2:$Q$500,0)&gt;0,79,""),"")</f>
        <v/>
      </c>
      <c r="B83" s="15" t="str">
        <f aca="false">IFERROR(IF(INDEX('Task Log'!$C$2:$C$500,MATCH(79,'Task Log'!$Q$2:$Q$500,0))="","",INDEX('Task Log'!$C$2:$C$500,MATCH(79,'Task Log'!$Q$2:$Q$500,0))),"")</f>
        <v/>
      </c>
      <c r="C83" s="15" t="str">
        <f aca="false">IFERROR(IF(INDEX('Task Log'!$D$2:$D$500,MATCH(79,'Task Log'!$Q$2:$Q$500,0))="","",INDEX('Task Log'!$D$2:$D$500,MATCH(79,'Task Log'!$Q$2:$Q$500,0))),"")</f>
        <v/>
      </c>
      <c r="D83" s="15" t="str">
        <f aca="false">IFERROR(IF(INDEX('Task Log'!$E$2:$E$500,MATCH(79,'Task Log'!$Q$2:$Q$500,0))="","",INDEX('Task Log'!$E$2:$E$500,MATCH(79,'Task Log'!$Q$2:$Q$500,0))),"")</f>
        <v/>
      </c>
      <c r="E83" s="5" t="str">
        <f aca="false">IFERROR(IF(INDEX('Task Log'!$G$2:$G$500,MATCH(79,'Task Log'!$Q$2:$Q$500,0))="","",INDEX('Task Log'!$G$2:$G$500,MATCH(79,'Task Log'!$Q$2:$Q$500,0))),"")</f>
        <v/>
      </c>
      <c r="F83" s="11" t="str">
        <f aca="false">IFERROR(IF(INDEX('Task Log'!$H$2:$H$500,MATCH(79,'Task Log'!$Q$2:$Q$500,0))="","",INDEX('Task Log'!$H$2:$H$500,MATCH(79,'Task Log'!$Q$2:$Q$500,0))),"")</f>
        <v/>
      </c>
      <c r="G83" s="11" t="str">
        <f aca="false">IFERROR(IF(INDEX('Task Log'!$I$2:$I$500,MATCH(79,'Task Log'!$Q$2:$Q$500,0))="","",INDEX('Task Log'!$I$2:$I$500,MATCH(79,'Task Log'!$Q$2:$Q$500,0))),"")</f>
        <v/>
      </c>
      <c r="H83" s="15" t="str">
        <f aca="false">IFERROR(IF(INDEX('Task Log'!$J$2:$J$500,MATCH(79,'Task Log'!$Q$2:$Q$500,0))="","",INDEX('Task Log'!$J$2:$J$500,MATCH(79,'Task Log'!$Q$2:$Q$500,0))),"")</f>
        <v/>
      </c>
      <c r="I83" s="5" t="str">
        <f aca="false">IFERROR(IF(INDEX('Task Log'!$O$2:$O$500,MATCH(79,'Task Log'!$Q$2:$Q$500,0))="","",INDEX('Task Log'!$O$2:$O$500,MATCH(79,'Task Log'!$Q$2:$Q$500,0))),"")</f>
        <v/>
      </c>
      <c r="J83" s="5" t="str">
        <f aca="false">IFERROR(IF(INDEX('Task Log'!$K$2:$K$500,MATCH(79,'Task Log'!$Q$2:$Q$500,0))="","",INDEX('Task Log'!$K$2:$K$500,MATCH(79,'Task Log'!$Q$2:$Q$500,0))),"")</f>
        <v/>
      </c>
      <c r="K83" s="5" t="str">
        <f aca="false">IFERROR(IF(INDEX('Task Log'!$N$2:$N$500,MATCH(79,'Task Log'!$Q$2:$Q$500,0))="","",INDEX('Task Log'!$N$2:$N$500,MATCH(79,'Task Log'!$Q$2:$Q$500,0))),"")</f>
        <v/>
      </c>
      <c r="L83" s="5" t="str">
        <f aca="false">IFERROR(IF(INDEX('Task Log'!$P$2:$P$500,MATCH(79,'Task Log'!$Q$2:$Q$500,0))="","",INDEX('Task Log'!$P$2:$P$500,MATCH(79,'Task Log'!$Q$2:$Q$500,0))),"")</f>
        <v/>
      </c>
    </row>
    <row r="84" customFormat="false" ht="15" hidden="false" customHeight="false" outlineLevel="0" collapsed="false">
      <c r="A84" s="5" t="str">
        <f aca="false">IFERROR(IF(MATCH(80,'Task Log'!$Q$2:$Q$500,0)&gt;0,80,""),"")</f>
        <v/>
      </c>
      <c r="B84" s="15" t="str">
        <f aca="false">IFERROR(IF(INDEX('Task Log'!$C$2:$C$500,MATCH(80,'Task Log'!$Q$2:$Q$500,0))="","",INDEX('Task Log'!$C$2:$C$500,MATCH(80,'Task Log'!$Q$2:$Q$500,0))),"")</f>
        <v/>
      </c>
      <c r="C84" s="15" t="str">
        <f aca="false">IFERROR(IF(INDEX('Task Log'!$D$2:$D$500,MATCH(80,'Task Log'!$Q$2:$Q$500,0))="","",INDEX('Task Log'!$D$2:$D$500,MATCH(80,'Task Log'!$Q$2:$Q$500,0))),"")</f>
        <v/>
      </c>
      <c r="D84" s="15" t="str">
        <f aca="false">IFERROR(IF(INDEX('Task Log'!$E$2:$E$500,MATCH(80,'Task Log'!$Q$2:$Q$500,0))="","",INDEX('Task Log'!$E$2:$E$500,MATCH(80,'Task Log'!$Q$2:$Q$500,0))),"")</f>
        <v/>
      </c>
      <c r="E84" s="5" t="str">
        <f aca="false">IFERROR(IF(INDEX('Task Log'!$G$2:$G$500,MATCH(80,'Task Log'!$Q$2:$Q$500,0))="","",INDEX('Task Log'!$G$2:$G$500,MATCH(80,'Task Log'!$Q$2:$Q$500,0))),"")</f>
        <v/>
      </c>
      <c r="F84" s="11" t="str">
        <f aca="false">IFERROR(IF(INDEX('Task Log'!$H$2:$H$500,MATCH(80,'Task Log'!$Q$2:$Q$500,0))="","",INDEX('Task Log'!$H$2:$H$500,MATCH(80,'Task Log'!$Q$2:$Q$500,0))),"")</f>
        <v/>
      </c>
      <c r="G84" s="11" t="str">
        <f aca="false">IFERROR(IF(INDEX('Task Log'!$I$2:$I$500,MATCH(80,'Task Log'!$Q$2:$Q$500,0))="","",INDEX('Task Log'!$I$2:$I$500,MATCH(80,'Task Log'!$Q$2:$Q$500,0))),"")</f>
        <v/>
      </c>
      <c r="H84" s="15" t="str">
        <f aca="false">IFERROR(IF(INDEX('Task Log'!$J$2:$J$500,MATCH(80,'Task Log'!$Q$2:$Q$500,0))="","",INDEX('Task Log'!$J$2:$J$500,MATCH(80,'Task Log'!$Q$2:$Q$500,0))),"")</f>
        <v/>
      </c>
      <c r="I84" s="5" t="str">
        <f aca="false">IFERROR(IF(INDEX('Task Log'!$O$2:$O$500,MATCH(80,'Task Log'!$Q$2:$Q$500,0))="","",INDEX('Task Log'!$O$2:$O$500,MATCH(80,'Task Log'!$Q$2:$Q$500,0))),"")</f>
        <v/>
      </c>
      <c r="J84" s="5" t="str">
        <f aca="false">IFERROR(IF(INDEX('Task Log'!$K$2:$K$500,MATCH(80,'Task Log'!$Q$2:$Q$500,0))="","",INDEX('Task Log'!$K$2:$K$500,MATCH(80,'Task Log'!$Q$2:$Q$500,0))),"")</f>
        <v/>
      </c>
      <c r="K84" s="5" t="str">
        <f aca="false">IFERROR(IF(INDEX('Task Log'!$N$2:$N$500,MATCH(80,'Task Log'!$Q$2:$Q$500,0))="","",INDEX('Task Log'!$N$2:$N$500,MATCH(80,'Task Log'!$Q$2:$Q$500,0))),"")</f>
        <v/>
      </c>
      <c r="L84" s="5" t="str">
        <f aca="false">IFERROR(IF(INDEX('Task Log'!$P$2:$P$500,MATCH(80,'Task Log'!$Q$2:$Q$500,0))="","",INDEX('Task Log'!$P$2:$P$500,MATCH(80,'Task Log'!$Q$2:$Q$500,0))),"")</f>
        <v/>
      </c>
    </row>
    <row r="85" customFormat="false" ht="15" hidden="false" customHeight="false" outlineLevel="0" collapsed="false">
      <c r="A85" s="5" t="str">
        <f aca="false">IFERROR(IF(MATCH(81,'Task Log'!$Q$2:$Q$500,0)&gt;0,81,""),"")</f>
        <v/>
      </c>
      <c r="B85" s="15" t="str">
        <f aca="false">IFERROR(IF(INDEX('Task Log'!$C$2:$C$500,MATCH(81,'Task Log'!$Q$2:$Q$500,0))="","",INDEX('Task Log'!$C$2:$C$500,MATCH(81,'Task Log'!$Q$2:$Q$500,0))),"")</f>
        <v/>
      </c>
      <c r="C85" s="15" t="str">
        <f aca="false">IFERROR(IF(INDEX('Task Log'!$D$2:$D$500,MATCH(81,'Task Log'!$Q$2:$Q$500,0))="","",INDEX('Task Log'!$D$2:$D$500,MATCH(81,'Task Log'!$Q$2:$Q$500,0))),"")</f>
        <v/>
      </c>
      <c r="D85" s="15" t="str">
        <f aca="false">IFERROR(IF(INDEX('Task Log'!$E$2:$E$500,MATCH(81,'Task Log'!$Q$2:$Q$500,0))="","",INDEX('Task Log'!$E$2:$E$500,MATCH(81,'Task Log'!$Q$2:$Q$500,0))),"")</f>
        <v/>
      </c>
      <c r="E85" s="5" t="str">
        <f aca="false">IFERROR(IF(INDEX('Task Log'!$G$2:$G$500,MATCH(81,'Task Log'!$Q$2:$Q$500,0))="","",INDEX('Task Log'!$G$2:$G$500,MATCH(81,'Task Log'!$Q$2:$Q$500,0))),"")</f>
        <v/>
      </c>
      <c r="F85" s="11" t="str">
        <f aca="false">IFERROR(IF(INDEX('Task Log'!$H$2:$H$500,MATCH(81,'Task Log'!$Q$2:$Q$500,0))="","",INDEX('Task Log'!$H$2:$H$500,MATCH(81,'Task Log'!$Q$2:$Q$500,0))),"")</f>
        <v/>
      </c>
      <c r="G85" s="11" t="str">
        <f aca="false">IFERROR(IF(INDEX('Task Log'!$I$2:$I$500,MATCH(81,'Task Log'!$Q$2:$Q$500,0))="","",INDEX('Task Log'!$I$2:$I$500,MATCH(81,'Task Log'!$Q$2:$Q$500,0))),"")</f>
        <v/>
      </c>
      <c r="H85" s="15" t="str">
        <f aca="false">IFERROR(IF(INDEX('Task Log'!$J$2:$J$500,MATCH(81,'Task Log'!$Q$2:$Q$500,0))="","",INDEX('Task Log'!$J$2:$J$500,MATCH(81,'Task Log'!$Q$2:$Q$500,0))),"")</f>
        <v/>
      </c>
      <c r="I85" s="5" t="str">
        <f aca="false">IFERROR(IF(INDEX('Task Log'!$O$2:$O$500,MATCH(81,'Task Log'!$Q$2:$Q$500,0))="","",INDEX('Task Log'!$O$2:$O$500,MATCH(81,'Task Log'!$Q$2:$Q$500,0))),"")</f>
        <v/>
      </c>
      <c r="J85" s="5" t="str">
        <f aca="false">IFERROR(IF(INDEX('Task Log'!$K$2:$K$500,MATCH(81,'Task Log'!$Q$2:$Q$500,0))="","",INDEX('Task Log'!$K$2:$K$500,MATCH(81,'Task Log'!$Q$2:$Q$500,0))),"")</f>
        <v/>
      </c>
      <c r="K85" s="5" t="str">
        <f aca="false">IFERROR(IF(INDEX('Task Log'!$N$2:$N$500,MATCH(81,'Task Log'!$Q$2:$Q$500,0))="","",INDEX('Task Log'!$N$2:$N$500,MATCH(81,'Task Log'!$Q$2:$Q$500,0))),"")</f>
        <v/>
      </c>
      <c r="L85" s="5" t="str">
        <f aca="false">IFERROR(IF(INDEX('Task Log'!$P$2:$P$500,MATCH(81,'Task Log'!$Q$2:$Q$500,0))="","",INDEX('Task Log'!$P$2:$P$500,MATCH(81,'Task Log'!$Q$2:$Q$500,0))),"")</f>
        <v/>
      </c>
    </row>
    <row r="86" customFormat="false" ht="15" hidden="false" customHeight="false" outlineLevel="0" collapsed="false">
      <c r="A86" s="5" t="str">
        <f aca="false">IFERROR(IF(MATCH(82,'Task Log'!$Q$2:$Q$500,0)&gt;0,82,""),"")</f>
        <v/>
      </c>
      <c r="B86" s="15" t="str">
        <f aca="false">IFERROR(IF(INDEX('Task Log'!$C$2:$C$500,MATCH(82,'Task Log'!$Q$2:$Q$500,0))="","",INDEX('Task Log'!$C$2:$C$500,MATCH(82,'Task Log'!$Q$2:$Q$500,0))),"")</f>
        <v/>
      </c>
      <c r="C86" s="15" t="str">
        <f aca="false">IFERROR(IF(INDEX('Task Log'!$D$2:$D$500,MATCH(82,'Task Log'!$Q$2:$Q$500,0))="","",INDEX('Task Log'!$D$2:$D$500,MATCH(82,'Task Log'!$Q$2:$Q$500,0))),"")</f>
        <v/>
      </c>
      <c r="D86" s="15" t="str">
        <f aca="false">IFERROR(IF(INDEX('Task Log'!$E$2:$E$500,MATCH(82,'Task Log'!$Q$2:$Q$500,0))="","",INDEX('Task Log'!$E$2:$E$500,MATCH(82,'Task Log'!$Q$2:$Q$500,0))),"")</f>
        <v/>
      </c>
      <c r="E86" s="5" t="str">
        <f aca="false">IFERROR(IF(INDEX('Task Log'!$G$2:$G$500,MATCH(82,'Task Log'!$Q$2:$Q$500,0))="","",INDEX('Task Log'!$G$2:$G$500,MATCH(82,'Task Log'!$Q$2:$Q$500,0))),"")</f>
        <v/>
      </c>
      <c r="F86" s="11" t="str">
        <f aca="false">IFERROR(IF(INDEX('Task Log'!$H$2:$H$500,MATCH(82,'Task Log'!$Q$2:$Q$500,0))="","",INDEX('Task Log'!$H$2:$H$500,MATCH(82,'Task Log'!$Q$2:$Q$500,0))),"")</f>
        <v/>
      </c>
      <c r="G86" s="11" t="str">
        <f aca="false">IFERROR(IF(INDEX('Task Log'!$I$2:$I$500,MATCH(82,'Task Log'!$Q$2:$Q$500,0))="","",INDEX('Task Log'!$I$2:$I$500,MATCH(82,'Task Log'!$Q$2:$Q$500,0))),"")</f>
        <v/>
      </c>
      <c r="H86" s="15" t="str">
        <f aca="false">IFERROR(IF(INDEX('Task Log'!$J$2:$J$500,MATCH(82,'Task Log'!$Q$2:$Q$500,0))="","",INDEX('Task Log'!$J$2:$J$500,MATCH(82,'Task Log'!$Q$2:$Q$500,0))),"")</f>
        <v/>
      </c>
      <c r="I86" s="5" t="str">
        <f aca="false">IFERROR(IF(INDEX('Task Log'!$O$2:$O$500,MATCH(82,'Task Log'!$Q$2:$Q$500,0))="","",INDEX('Task Log'!$O$2:$O$500,MATCH(82,'Task Log'!$Q$2:$Q$500,0))),"")</f>
        <v/>
      </c>
      <c r="J86" s="5" t="str">
        <f aca="false">IFERROR(IF(INDEX('Task Log'!$K$2:$K$500,MATCH(82,'Task Log'!$Q$2:$Q$500,0))="","",INDEX('Task Log'!$K$2:$K$500,MATCH(82,'Task Log'!$Q$2:$Q$500,0))),"")</f>
        <v/>
      </c>
      <c r="K86" s="5" t="str">
        <f aca="false">IFERROR(IF(INDEX('Task Log'!$N$2:$N$500,MATCH(82,'Task Log'!$Q$2:$Q$500,0))="","",INDEX('Task Log'!$N$2:$N$500,MATCH(82,'Task Log'!$Q$2:$Q$500,0))),"")</f>
        <v/>
      </c>
      <c r="L86" s="5" t="str">
        <f aca="false">IFERROR(IF(INDEX('Task Log'!$P$2:$P$500,MATCH(82,'Task Log'!$Q$2:$Q$500,0))="","",INDEX('Task Log'!$P$2:$P$500,MATCH(82,'Task Log'!$Q$2:$Q$500,0))),"")</f>
        <v/>
      </c>
    </row>
    <row r="87" customFormat="false" ht="15" hidden="false" customHeight="false" outlineLevel="0" collapsed="false">
      <c r="A87" s="5" t="str">
        <f aca="false">IFERROR(IF(MATCH(83,'Task Log'!$Q$2:$Q$500,0)&gt;0,83,""),"")</f>
        <v/>
      </c>
      <c r="B87" s="15" t="str">
        <f aca="false">IFERROR(IF(INDEX('Task Log'!$C$2:$C$500,MATCH(83,'Task Log'!$Q$2:$Q$500,0))="","",INDEX('Task Log'!$C$2:$C$500,MATCH(83,'Task Log'!$Q$2:$Q$500,0))),"")</f>
        <v/>
      </c>
      <c r="C87" s="15" t="str">
        <f aca="false">IFERROR(IF(INDEX('Task Log'!$D$2:$D$500,MATCH(83,'Task Log'!$Q$2:$Q$500,0))="","",INDEX('Task Log'!$D$2:$D$500,MATCH(83,'Task Log'!$Q$2:$Q$500,0))),"")</f>
        <v/>
      </c>
      <c r="D87" s="15" t="str">
        <f aca="false">IFERROR(IF(INDEX('Task Log'!$E$2:$E$500,MATCH(83,'Task Log'!$Q$2:$Q$500,0))="","",INDEX('Task Log'!$E$2:$E$500,MATCH(83,'Task Log'!$Q$2:$Q$500,0))),"")</f>
        <v/>
      </c>
      <c r="E87" s="5" t="str">
        <f aca="false">IFERROR(IF(INDEX('Task Log'!$G$2:$G$500,MATCH(83,'Task Log'!$Q$2:$Q$500,0))="","",INDEX('Task Log'!$G$2:$G$500,MATCH(83,'Task Log'!$Q$2:$Q$500,0))),"")</f>
        <v/>
      </c>
      <c r="F87" s="11" t="str">
        <f aca="false">IFERROR(IF(INDEX('Task Log'!$H$2:$H$500,MATCH(83,'Task Log'!$Q$2:$Q$500,0))="","",INDEX('Task Log'!$H$2:$H$500,MATCH(83,'Task Log'!$Q$2:$Q$500,0))),"")</f>
        <v/>
      </c>
      <c r="G87" s="11" t="str">
        <f aca="false">IFERROR(IF(INDEX('Task Log'!$I$2:$I$500,MATCH(83,'Task Log'!$Q$2:$Q$500,0))="","",INDEX('Task Log'!$I$2:$I$500,MATCH(83,'Task Log'!$Q$2:$Q$500,0))),"")</f>
        <v/>
      </c>
      <c r="H87" s="15" t="str">
        <f aca="false">IFERROR(IF(INDEX('Task Log'!$J$2:$J$500,MATCH(83,'Task Log'!$Q$2:$Q$500,0))="","",INDEX('Task Log'!$J$2:$J$500,MATCH(83,'Task Log'!$Q$2:$Q$500,0))),"")</f>
        <v/>
      </c>
      <c r="I87" s="5" t="str">
        <f aca="false">IFERROR(IF(INDEX('Task Log'!$O$2:$O$500,MATCH(83,'Task Log'!$Q$2:$Q$500,0))="","",INDEX('Task Log'!$O$2:$O$500,MATCH(83,'Task Log'!$Q$2:$Q$500,0))),"")</f>
        <v/>
      </c>
      <c r="J87" s="5" t="str">
        <f aca="false">IFERROR(IF(INDEX('Task Log'!$K$2:$K$500,MATCH(83,'Task Log'!$Q$2:$Q$500,0))="","",INDEX('Task Log'!$K$2:$K$500,MATCH(83,'Task Log'!$Q$2:$Q$500,0))),"")</f>
        <v/>
      </c>
      <c r="K87" s="5" t="str">
        <f aca="false">IFERROR(IF(INDEX('Task Log'!$N$2:$N$500,MATCH(83,'Task Log'!$Q$2:$Q$500,0))="","",INDEX('Task Log'!$N$2:$N$500,MATCH(83,'Task Log'!$Q$2:$Q$500,0))),"")</f>
        <v/>
      </c>
      <c r="L87" s="5" t="str">
        <f aca="false">IFERROR(IF(INDEX('Task Log'!$P$2:$P$500,MATCH(83,'Task Log'!$Q$2:$Q$500,0))="","",INDEX('Task Log'!$P$2:$P$500,MATCH(83,'Task Log'!$Q$2:$Q$500,0))),"")</f>
        <v/>
      </c>
    </row>
    <row r="88" customFormat="false" ht="15" hidden="false" customHeight="false" outlineLevel="0" collapsed="false">
      <c r="A88" s="5" t="str">
        <f aca="false">IFERROR(IF(MATCH(84,'Task Log'!$Q$2:$Q$500,0)&gt;0,84,""),"")</f>
        <v/>
      </c>
      <c r="B88" s="15" t="str">
        <f aca="false">IFERROR(IF(INDEX('Task Log'!$C$2:$C$500,MATCH(84,'Task Log'!$Q$2:$Q$500,0))="","",INDEX('Task Log'!$C$2:$C$500,MATCH(84,'Task Log'!$Q$2:$Q$500,0))),"")</f>
        <v/>
      </c>
      <c r="C88" s="15" t="str">
        <f aca="false">IFERROR(IF(INDEX('Task Log'!$D$2:$D$500,MATCH(84,'Task Log'!$Q$2:$Q$500,0))="","",INDEX('Task Log'!$D$2:$D$500,MATCH(84,'Task Log'!$Q$2:$Q$500,0))),"")</f>
        <v/>
      </c>
      <c r="D88" s="15" t="str">
        <f aca="false">IFERROR(IF(INDEX('Task Log'!$E$2:$E$500,MATCH(84,'Task Log'!$Q$2:$Q$500,0))="","",INDEX('Task Log'!$E$2:$E$500,MATCH(84,'Task Log'!$Q$2:$Q$500,0))),"")</f>
        <v/>
      </c>
      <c r="E88" s="5" t="str">
        <f aca="false">IFERROR(IF(INDEX('Task Log'!$G$2:$G$500,MATCH(84,'Task Log'!$Q$2:$Q$500,0))="","",INDEX('Task Log'!$G$2:$G$500,MATCH(84,'Task Log'!$Q$2:$Q$500,0))),"")</f>
        <v/>
      </c>
      <c r="F88" s="11" t="str">
        <f aca="false">IFERROR(IF(INDEX('Task Log'!$H$2:$H$500,MATCH(84,'Task Log'!$Q$2:$Q$500,0))="","",INDEX('Task Log'!$H$2:$H$500,MATCH(84,'Task Log'!$Q$2:$Q$500,0))),"")</f>
        <v/>
      </c>
      <c r="G88" s="11" t="str">
        <f aca="false">IFERROR(IF(INDEX('Task Log'!$I$2:$I$500,MATCH(84,'Task Log'!$Q$2:$Q$500,0))="","",INDEX('Task Log'!$I$2:$I$500,MATCH(84,'Task Log'!$Q$2:$Q$500,0))),"")</f>
        <v/>
      </c>
      <c r="H88" s="15" t="str">
        <f aca="false">IFERROR(IF(INDEX('Task Log'!$J$2:$J$500,MATCH(84,'Task Log'!$Q$2:$Q$500,0))="","",INDEX('Task Log'!$J$2:$J$500,MATCH(84,'Task Log'!$Q$2:$Q$500,0))),"")</f>
        <v/>
      </c>
      <c r="I88" s="5" t="str">
        <f aca="false">IFERROR(IF(INDEX('Task Log'!$O$2:$O$500,MATCH(84,'Task Log'!$Q$2:$Q$500,0))="","",INDEX('Task Log'!$O$2:$O$500,MATCH(84,'Task Log'!$Q$2:$Q$500,0))),"")</f>
        <v/>
      </c>
      <c r="J88" s="5" t="str">
        <f aca="false">IFERROR(IF(INDEX('Task Log'!$K$2:$K$500,MATCH(84,'Task Log'!$Q$2:$Q$500,0))="","",INDEX('Task Log'!$K$2:$K$500,MATCH(84,'Task Log'!$Q$2:$Q$500,0))),"")</f>
        <v/>
      </c>
      <c r="K88" s="5" t="str">
        <f aca="false">IFERROR(IF(INDEX('Task Log'!$N$2:$N$500,MATCH(84,'Task Log'!$Q$2:$Q$500,0))="","",INDEX('Task Log'!$N$2:$N$500,MATCH(84,'Task Log'!$Q$2:$Q$500,0))),"")</f>
        <v/>
      </c>
      <c r="L88" s="5" t="str">
        <f aca="false">IFERROR(IF(INDEX('Task Log'!$P$2:$P$500,MATCH(84,'Task Log'!$Q$2:$Q$500,0))="","",INDEX('Task Log'!$P$2:$P$500,MATCH(84,'Task Log'!$Q$2:$Q$500,0))),"")</f>
        <v/>
      </c>
    </row>
    <row r="89" customFormat="false" ht="15" hidden="false" customHeight="false" outlineLevel="0" collapsed="false">
      <c r="A89" s="5" t="str">
        <f aca="false">IFERROR(IF(MATCH(85,'Task Log'!$Q$2:$Q$500,0)&gt;0,85,""),"")</f>
        <v/>
      </c>
      <c r="B89" s="15" t="str">
        <f aca="false">IFERROR(IF(INDEX('Task Log'!$C$2:$C$500,MATCH(85,'Task Log'!$Q$2:$Q$500,0))="","",INDEX('Task Log'!$C$2:$C$500,MATCH(85,'Task Log'!$Q$2:$Q$500,0))),"")</f>
        <v/>
      </c>
      <c r="C89" s="15" t="str">
        <f aca="false">IFERROR(IF(INDEX('Task Log'!$D$2:$D$500,MATCH(85,'Task Log'!$Q$2:$Q$500,0))="","",INDEX('Task Log'!$D$2:$D$500,MATCH(85,'Task Log'!$Q$2:$Q$500,0))),"")</f>
        <v/>
      </c>
      <c r="D89" s="15" t="str">
        <f aca="false">IFERROR(IF(INDEX('Task Log'!$E$2:$E$500,MATCH(85,'Task Log'!$Q$2:$Q$500,0))="","",INDEX('Task Log'!$E$2:$E$500,MATCH(85,'Task Log'!$Q$2:$Q$500,0))),"")</f>
        <v/>
      </c>
      <c r="E89" s="5" t="str">
        <f aca="false">IFERROR(IF(INDEX('Task Log'!$G$2:$G$500,MATCH(85,'Task Log'!$Q$2:$Q$500,0))="","",INDEX('Task Log'!$G$2:$G$500,MATCH(85,'Task Log'!$Q$2:$Q$500,0))),"")</f>
        <v/>
      </c>
      <c r="F89" s="11" t="str">
        <f aca="false">IFERROR(IF(INDEX('Task Log'!$H$2:$H$500,MATCH(85,'Task Log'!$Q$2:$Q$500,0))="","",INDEX('Task Log'!$H$2:$H$500,MATCH(85,'Task Log'!$Q$2:$Q$500,0))),"")</f>
        <v/>
      </c>
      <c r="G89" s="11" t="str">
        <f aca="false">IFERROR(IF(INDEX('Task Log'!$I$2:$I$500,MATCH(85,'Task Log'!$Q$2:$Q$500,0))="","",INDEX('Task Log'!$I$2:$I$500,MATCH(85,'Task Log'!$Q$2:$Q$500,0))),"")</f>
        <v/>
      </c>
      <c r="H89" s="15" t="str">
        <f aca="false">IFERROR(IF(INDEX('Task Log'!$J$2:$J$500,MATCH(85,'Task Log'!$Q$2:$Q$500,0))="","",INDEX('Task Log'!$J$2:$J$500,MATCH(85,'Task Log'!$Q$2:$Q$500,0))),"")</f>
        <v/>
      </c>
      <c r="I89" s="5" t="str">
        <f aca="false">IFERROR(IF(INDEX('Task Log'!$O$2:$O$500,MATCH(85,'Task Log'!$Q$2:$Q$500,0))="","",INDEX('Task Log'!$O$2:$O$500,MATCH(85,'Task Log'!$Q$2:$Q$500,0))),"")</f>
        <v/>
      </c>
      <c r="J89" s="5" t="str">
        <f aca="false">IFERROR(IF(INDEX('Task Log'!$K$2:$K$500,MATCH(85,'Task Log'!$Q$2:$Q$500,0))="","",INDEX('Task Log'!$K$2:$K$500,MATCH(85,'Task Log'!$Q$2:$Q$500,0))),"")</f>
        <v/>
      </c>
      <c r="K89" s="5" t="str">
        <f aca="false">IFERROR(IF(INDEX('Task Log'!$N$2:$N$500,MATCH(85,'Task Log'!$Q$2:$Q$500,0))="","",INDEX('Task Log'!$N$2:$N$500,MATCH(85,'Task Log'!$Q$2:$Q$500,0))),"")</f>
        <v/>
      </c>
      <c r="L89" s="5" t="str">
        <f aca="false">IFERROR(IF(INDEX('Task Log'!$P$2:$P$500,MATCH(85,'Task Log'!$Q$2:$Q$500,0))="","",INDEX('Task Log'!$P$2:$P$500,MATCH(85,'Task Log'!$Q$2:$Q$500,0))),"")</f>
        <v/>
      </c>
    </row>
    <row r="90" customFormat="false" ht="15" hidden="false" customHeight="false" outlineLevel="0" collapsed="false">
      <c r="A90" s="5" t="str">
        <f aca="false">IFERROR(IF(MATCH(86,'Task Log'!$Q$2:$Q$500,0)&gt;0,86,""),"")</f>
        <v/>
      </c>
      <c r="B90" s="15" t="str">
        <f aca="false">IFERROR(IF(INDEX('Task Log'!$C$2:$C$500,MATCH(86,'Task Log'!$Q$2:$Q$500,0))="","",INDEX('Task Log'!$C$2:$C$500,MATCH(86,'Task Log'!$Q$2:$Q$500,0))),"")</f>
        <v/>
      </c>
      <c r="C90" s="15" t="str">
        <f aca="false">IFERROR(IF(INDEX('Task Log'!$D$2:$D$500,MATCH(86,'Task Log'!$Q$2:$Q$500,0))="","",INDEX('Task Log'!$D$2:$D$500,MATCH(86,'Task Log'!$Q$2:$Q$500,0))),"")</f>
        <v/>
      </c>
      <c r="D90" s="15" t="str">
        <f aca="false">IFERROR(IF(INDEX('Task Log'!$E$2:$E$500,MATCH(86,'Task Log'!$Q$2:$Q$500,0))="","",INDEX('Task Log'!$E$2:$E$500,MATCH(86,'Task Log'!$Q$2:$Q$500,0))),"")</f>
        <v/>
      </c>
      <c r="E90" s="5" t="str">
        <f aca="false">IFERROR(IF(INDEX('Task Log'!$G$2:$G$500,MATCH(86,'Task Log'!$Q$2:$Q$500,0))="","",INDEX('Task Log'!$G$2:$G$500,MATCH(86,'Task Log'!$Q$2:$Q$500,0))),"")</f>
        <v/>
      </c>
      <c r="F90" s="11" t="str">
        <f aca="false">IFERROR(IF(INDEX('Task Log'!$H$2:$H$500,MATCH(86,'Task Log'!$Q$2:$Q$500,0))="","",INDEX('Task Log'!$H$2:$H$500,MATCH(86,'Task Log'!$Q$2:$Q$500,0))),"")</f>
        <v/>
      </c>
      <c r="G90" s="11" t="str">
        <f aca="false">IFERROR(IF(INDEX('Task Log'!$I$2:$I$500,MATCH(86,'Task Log'!$Q$2:$Q$500,0))="","",INDEX('Task Log'!$I$2:$I$500,MATCH(86,'Task Log'!$Q$2:$Q$500,0))),"")</f>
        <v/>
      </c>
      <c r="H90" s="15" t="str">
        <f aca="false">IFERROR(IF(INDEX('Task Log'!$J$2:$J$500,MATCH(86,'Task Log'!$Q$2:$Q$500,0))="","",INDEX('Task Log'!$J$2:$J$500,MATCH(86,'Task Log'!$Q$2:$Q$500,0))),"")</f>
        <v/>
      </c>
      <c r="I90" s="5" t="str">
        <f aca="false">IFERROR(IF(INDEX('Task Log'!$O$2:$O$500,MATCH(86,'Task Log'!$Q$2:$Q$500,0))="","",INDEX('Task Log'!$O$2:$O$500,MATCH(86,'Task Log'!$Q$2:$Q$500,0))),"")</f>
        <v/>
      </c>
      <c r="J90" s="5" t="str">
        <f aca="false">IFERROR(IF(INDEX('Task Log'!$K$2:$K$500,MATCH(86,'Task Log'!$Q$2:$Q$500,0))="","",INDEX('Task Log'!$K$2:$K$500,MATCH(86,'Task Log'!$Q$2:$Q$500,0))),"")</f>
        <v/>
      </c>
      <c r="K90" s="5" t="str">
        <f aca="false">IFERROR(IF(INDEX('Task Log'!$N$2:$N$500,MATCH(86,'Task Log'!$Q$2:$Q$500,0))="","",INDEX('Task Log'!$N$2:$N$500,MATCH(86,'Task Log'!$Q$2:$Q$500,0))),"")</f>
        <v/>
      </c>
      <c r="L90" s="5" t="str">
        <f aca="false">IFERROR(IF(INDEX('Task Log'!$P$2:$P$500,MATCH(86,'Task Log'!$Q$2:$Q$500,0))="","",INDEX('Task Log'!$P$2:$P$500,MATCH(86,'Task Log'!$Q$2:$Q$500,0))),"")</f>
        <v/>
      </c>
    </row>
    <row r="91" customFormat="false" ht="15" hidden="false" customHeight="false" outlineLevel="0" collapsed="false">
      <c r="A91" s="5" t="str">
        <f aca="false">IFERROR(IF(MATCH(87,'Task Log'!$Q$2:$Q$500,0)&gt;0,87,""),"")</f>
        <v/>
      </c>
      <c r="B91" s="15" t="str">
        <f aca="false">IFERROR(IF(INDEX('Task Log'!$C$2:$C$500,MATCH(87,'Task Log'!$Q$2:$Q$500,0))="","",INDEX('Task Log'!$C$2:$C$500,MATCH(87,'Task Log'!$Q$2:$Q$500,0))),"")</f>
        <v/>
      </c>
      <c r="C91" s="15" t="str">
        <f aca="false">IFERROR(IF(INDEX('Task Log'!$D$2:$D$500,MATCH(87,'Task Log'!$Q$2:$Q$500,0))="","",INDEX('Task Log'!$D$2:$D$500,MATCH(87,'Task Log'!$Q$2:$Q$500,0))),"")</f>
        <v/>
      </c>
      <c r="D91" s="15" t="str">
        <f aca="false">IFERROR(IF(INDEX('Task Log'!$E$2:$E$500,MATCH(87,'Task Log'!$Q$2:$Q$500,0))="","",INDEX('Task Log'!$E$2:$E$500,MATCH(87,'Task Log'!$Q$2:$Q$500,0))),"")</f>
        <v/>
      </c>
      <c r="E91" s="5" t="str">
        <f aca="false">IFERROR(IF(INDEX('Task Log'!$G$2:$G$500,MATCH(87,'Task Log'!$Q$2:$Q$500,0))="","",INDEX('Task Log'!$G$2:$G$500,MATCH(87,'Task Log'!$Q$2:$Q$500,0))),"")</f>
        <v/>
      </c>
      <c r="F91" s="11" t="str">
        <f aca="false">IFERROR(IF(INDEX('Task Log'!$H$2:$H$500,MATCH(87,'Task Log'!$Q$2:$Q$500,0))="","",INDEX('Task Log'!$H$2:$H$500,MATCH(87,'Task Log'!$Q$2:$Q$500,0))),"")</f>
        <v/>
      </c>
      <c r="G91" s="11" t="str">
        <f aca="false">IFERROR(IF(INDEX('Task Log'!$I$2:$I$500,MATCH(87,'Task Log'!$Q$2:$Q$500,0))="","",INDEX('Task Log'!$I$2:$I$500,MATCH(87,'Task Log'!$Q$2:$Q$500,0))),"")</f>
        <v/>
      </c>
      <c r="H91" s="15" t="str">
        <f aca="false">IFERROR(IF(INDEX('Task Log'!$J$2:$J$500,MATCH(87,'Task Log'!$Q$2:$Q$500,0))="","",INDEX('Task Log'!$J$2:$J$500,MATCH(87,'Task Log'!$Q$2:$Q$500,0))),"")</f>
        <v/>
      </c>
      <c r="I91" s="5" t="str">
        <f aca="false">IFERROR(IF(INDEX('Task Log'!$O$2:$O$500,MATCH(87,'Task Log'!$Q$2:$Q$500,0))="","",INDEX('Task Log'!$O$2:$O$500,MATCH(87,'Task Log'!$Q$2:$Q$500,0))),"")</f>
        <v/>
      </c>
      <c r="J91" s="5" t="str">
        <f aca="false">IFERROR(IF(INDEX('Task Log'!$K$2:$K$500,MATCH(87,'Task Log'!$Q$2:$Q$500,0))="","",INDEX('Task Log'!$K$2:$K$500,MATCH(87,'Task Log'!$Q$2:$Q$500,0))),"")</f>
        <v/>
      </c>
      <c r="K91" s="5" t="str">
        <f aca="false">IFERROR(IF(INDEX('Task Log'!$N$2:$N$500,MATCH(87,'Task Log'!$Q$2:$Q$500,0))="","",INDEX('Task Log'!$N$2:$N$500,MATCH(87,'Task Log'!$Q$2:$Q$500,0))),"")</f>
        <v/>
      </c>
      <c r="L91" s="5" t="str">
        <f aca="false">IFERROR(IF(INDEX('Task Log'!$P$2:$P$500,MATCH(87,'Task Log'!$Q$2:$Q$500,0))="","",INDEX('Task Log'!$P$2:$P$500,MATCH(87,'Task Log'!$Q$2:$Q$500,0))),"")</f>
        <v/>
      </c>
    </row>
    <row r="92" customFormat="false" ht="15" hidden="false" customHeight="false" outlineLevel="0" collapsed="false">
      <c r="A92" s="5" t="str">
        <f aca="false">IFERROR(IF(MATCH(88,'Task Log'!$Q$2:$Q$500,0)&gt;0,88,""),"")</f>
        <v/>
      </c>
      <c r="B92" s="15" t="str">
        <f aca="false">IFERROR(IF(INDEX('Task Log'!$C$2:$C$500,MATCH(88,'Task Log'!$Q$2:$Q$500,0))="","",INDEX('Task Log'!$C$2:$C$500,MATCH(88,'Task Log'!$Q$2:$Q$500,0))),"")</f>
        <v/>
      </c>
      <c r="C92" s="15" t="str">
        <f aca="false">IFERROR(IF(INDEX('Task Log'!$D$2:$D$500,MATCH(88,'Task Log'!$Q$2:$Q$500,0))="","",INDEX('Task Log'!$D$2:$D$500,MATCH(88,'Task Log'!$Q$2:$Q$500,0))),"")</f>
        <v/>
      </c>
      <c r="D92" s="15" t="str">
        <f aca="false">IFERROR(IF(INDEX('Task Log'!$E$2:$E$500,MATCH(88,'Task Log'!$Q$2:$Q$500,0))="","",INDEX('Task Log'!$E$2:$E$500,MATCH(88,'Task Log'!$Q$2:$Q$500,0))),"")</f>
        <v/>
      </c>
      <c r="E92" s="5" t="str">
        <f aca="false">IFERROR(IF(INDEX('Task Log'!$G$2:$G$500,MATCH(88,'Task Log'!$Q$2:$Q$500,0))="","",INDEX('Task Log'!$G$2:$G$500,MATCH(88,'Task Log'!$Q$2:$Q$500,0))),"")</f>
        <v/>
      </c>
      <c r="F92" s="11" t="str">
        <f aca="false">IFERROR(IF(INDEX('Task Log'!$H$2:$H$500,MATCH(88,'Task Log'!$Q$2:$Q$500,0))="","",INDEX('Task Log'!$H$2:$H$500,MATCH(88,'Task Log'!$Q$2:$Q$500,0))),"")</f>
        <v/>
      </c>
      <c r="G92" s="11" t="str">
        <f aca="false">IFERROR(IF(INDEX('Task Log'!$I$2:$I$500,MATCH(88,'Task Log'!$Q$2:$Q$500,0))="","",INDEX('Task Log'!$I$2:$I$500,MATCH(88,'Task Log'!$Q$2:$Q$500,0))),"")</f>
        <v/>
      </c>
      <c r="H92" s="15" t="str">
        <f aca="false">IFERROR(IF(INDEX('Task Log'!$J$2:$J$500,MATCH(88,'Task Log'!$Q$2:$Q$500,0))="","",INDEX('Task Log'!$J$2:$J$500,MATCH(88,'Task Log'!$Q$2:$Q$500,0))),"")</f>
        <v/>
      </c>
      <c r="I92" s="5" t="str">
        <f aca="false">IFERROR(IF(INDEX('Task Log'!$O$2:$O$500,MATCH(88,'Task Log'!$Q$2:$Q$500,0))="","",INDEX('Task Log'!$O$2:$O$500,MATCH(88,'Task Log'!$Q$2:$Q$500,0))),"")</f>
        <v/>
      </c>
      <c r="J92" s="5" t="str">
        <f aca="false">IFERROR(IF(INDEX('Task Log'!$K$2:$K$500,MATCH(88,'Task Log'!$Q$2:$Q$500,0))="","",INDEX('Task Log'!$K$2:$K$500,MATCH(88,'Task Log'!$Q$2:$Q$500,0))),"")</f>
        <v/>
      </c>
      <c r="K92" s="5" t="str">
        <f aca="false">IFERROR(IF(INDEX('Task Log'!$N$2:$N$500,MATCH(88,'Task Log'!$Q$2:$Q$500,0))="","",INDEX('Task Log'!$N$2:$N$500,MATCH(88,'Task Log'!$Q$2:$Q$500,0))),"")</f>
        <v/>
      </c>
      <c r="L92" s="5" t="str">
        <f aca="false">IFERROR(IF(INDEX('Task Log'!$P$2:$P$500,MATCH(88,'Task Log'!$Q$2:$Q$500,0))="","",INDEX('Task Log'!$P$2:$P$500,MATCH(88,'Task Log'!$Q$2:$Q$500,0))),"")</f>
        <v/>
      </c>
    </row>
    <row r="93" customFormat="false" ht="15" hidden="false" customHeight="false" outlineLevel="0" collapsed="false">
      <c r="A93" s="5" t="str">
        <f aca="false">IFERROR(IF(MATCH(89,'Task Log'!$Q$2:$Q$500,0)&gt;0,89,""),"")</f>
        <v/>
      </c>
      <c r="B93" s="15" t="str">
        <f aca="false">IFERROR(IF(INDEX('Task Log'!$C$2:$C$500,MATCH(89,'Task Log'!$Q$2:$Q$500,0))="","",INDEX('Task Log'!$C$2:$C$500,MATCH(89,'Task Log'!$Q$2:$Q$500,0))),"")</f>
        <v/>
      </c>
      <c r="C93" s="15" t="str">
        <f aca="false">IFERROR(IF(INDEX('Task Log'!$D$2:$D$500,MATCH(89,'Task Log'!$Q$2:$Q$500,0))="","",INDEX('Task Log'!$D$2:$D$500,MATCH(89,'Task Log'!$Q$2:$Q$500,0))),"")</f>
        <v/>
      </c>
      <c r="D93" s="15" t="str">
        <f aca="false">IFERROR(IF(INDEX('Task Log'!$E$2:$E$500,MATCH(89,'Task Log'!$Q$2:$Q$500,0))="","",INDEX('Task Log'!$E$2:$E$500,MATCH(89,'Task Log'!$Q$2:$Q$500,0))),"")</f>
        <v/>
      </c>
      <c r="E93" s="5" t="str">
        <f aca="false">IFERROR(IF(INDEX('Task Log'!$G$2:$G$500,MATCH(89,'Task Log'!$Q$2:$Q$500,0))="","",INDEX('Task Log'!$G$2:$G$500,MATCH(89,'Task Log'!$Q$2:$Q$500,0))),"")</f>
        <v/>
      </c>
      <c r="F93" s="11" t="str">
        <f aca="false">IFERROR(IF(INDEX('Task Log'!$H$2:$H$500,MATCH(89,'Task Log'!$Q$2:$Q$500,0))="","",INDEX('Task Log'!$H$2:$H$500,MATCH(89,'Task Log'!$Q$2:$Q$500,0))),"")</f>
        <v/>
      </c>
      <c r="G93" s="11" t="str">
        <f aca="false">IFERROR(IF(INDEX('Task Log'!$I$2:$I$500,MATCH(89,'Task Log'!$Q$2:$Q$500,0))="","",INDEX('Task Log'!$I$2:$I$500,MATCH(89,'Task Log'!$Q$2:$Q$500,0))),"")</f>
        <v/>
      </c>
      <c r="H93" s="15" t="str">
        <f aca="false">IFERROR(IF(INDEX('Task Log'!$J$2:$J$500,MATCH(89,'Task Log'!$Q$2:$Q$500,0))="","",INDEX('Task Log'!$J$2:$J$500,MATCH(89,'Task Log'!$Q$2:$Q$500,0))),"")</f>
        <v/>
      </c>
      <c r="I93" s="5" t="str">
        <f aca="false">IFERROR(IF(INDEX('Task Log'!$O$2:$O$500,MATCH(89,'Task Log'!$Q$2:$Q$500,0))="","",INDEX('Task Log'!$O$2:$O$500,MATCH(89,'Task Log'!$Q$2:$Q$500,0))),"")</f>
        <v/>
      </c>
      <c r="J93" s="5" t="str">
        <f aca="false">IFERROR(IF(INDEX('Task Log'!$K$2:$K$500,MATCH(89,'Task Log'!$Q$2:$Q$500,0))="","",INDEX('Task Log'!$K$2:$K$500,MATCH(89,'Task Log'!$Q$2:$Q$500,0))),"")</f>
        <v/>
      </c>
      <c r="K93" s="5" t="str">
        <f aca="false">IFERROR(IF(INDEX('Task Log'!$N$2:$N$500,MATCH(89,'Task Log'!$Q$2:$Q$500,0))="","",INDEX('Task Log'!$N$2:$N$500,MATCH(89,'Task Log'!$Q$2:$Q$500,0))),"")</f>
        <v/>
      </c>
      <c r="L93" s="5" t="str">
        <f aca="false">IFERROR(IF(INDEX('Task Log'!$P$2:$P$500,MATCH(89,'Task Log'!$Q$2:$Q$500,0))="","",INDEX('Task Log'!$P$2:$P$500,MATCH(89,'Task Log'!$Q$2:$Q$500,0))),"")</f>
        <v/>
      </c>
    </row>
    <row r="94" customFormat="false" ht="15" hidden="false" customHeight="false" outlineLevel="0" collapsed="false">
      <c r="A94" s="5" t="str">
        <f aca="false">IFERROR(IF(MATCH(90,'Task Log'!$Q$2:$Q$500,0)&gt;0,90,""),"")</f>
        <v/>
      </c>
      <c r="B94" s="15" t="str">
        <f aca="false">IFERROR(IF(INDEX('Task Log'!$C$2:$C$500,MATCH(90,'Task Log'!$Q$2:$Q$500,0))="","",INDEX('Task Log'!$C$2:$C$500,MATCH(90,'Task Log'!$Q$2:$Q$500,0))),"")</f>
        <v/>
      </c>
      <c r="C94" s="15" t="str">
        <f aca="false">IFERROR(IF(INDEX('Task Log'!$D$2:$D$500,MATCH(90,'Task Log'!$Q$2:$Q$500,0))="","",INDEX('Task Log'!$D$2:$D$500,MATCH(90,'Task Log'!$Q$2:$Q$500,0))),"")</f>
        <v/>
      </c>
      <c r="D94" s="15" t="str">
        <f aca="false">IFERROR(IF(INDEX('Task Log'!$E$2:$E$500,MATCH(90,'Task Log'!$Q$2:$Q$500,0))="","",INDEX('Task Log'!$E$2:$E$500,MATCH(90,'Task Log'!$Q$2:$Q$500,0))),"")</f>
        <v/>
      </c>
      <c r="E94" s="5" t="str">
        <f aca="false">IFERROR(IF(INDEX('Task Log'!$G$2:$G$500,MATCH(90,'Task Log'!$Q$2:$Q$500,0))="","",INDEX('Task Log'!$G$2:$G$500,MATCH(90,'Task Log'!$Q$2:$Q$500,0))),"")</f>
        <v/>
      </c>
      <c r="F94" s="11" t="str">
        <f aca="false">IFERROR(IF(INDEX('Task Log'!$H$2:$H$500,MATCH(90,'Task Log'!$Q$2:$Q$500,0))="","",INDEX('Task Log'!$H$2:$H$500,MATCH(90,'Task Log'!$Q$2:$Q$500,0))),"")</f>
        <v/>
      </c>
      <c r="G94" s="11" t="str">
        <f aca="false">IFERROR(IF(INDEX('Task Log'!$I$2:$I$500,MATCH(90,'Task Log'!$Q$2:$Q$500,0))="","",INDEX('Task Log'!$I$2:$I$500,MATCH(90,'Task Log'!$Q$2:$Q$500,0))),"")</f>
        <v/>
      </c>
      <c r="H94" s="15" t="str">
        <f aca="false">IFERROR(IF(INDEX('Task Log'!$J$2:$J$500,MATCH(90,'Task Log'!$Q$2:$Q$500,0))="","",INDEX('Task Log'!$J$2:$J$500,MATCH(90,'Task Log'!$Q$2:$Q$500,0))),"")</f>
        <v/>
      </c>
      <c r="I94" s="5" t="str">
        <f aca="false">IFERROR(IF(INDEX('Task Log'!$O$2:$O$500,MATCH(90,'Task Log'!$Q$2:$Q$500,0))="","",INDEX('Task Log'!$O$2:$O$500,MATCH(90,'Task Log'!$Q$2:$Q$500,0))),"")</f>
        <v/>
      </c>
      <c r="J94" s="5" t="str">
        <f aca="false">IFERROR(IF(INDEX('Task Log'!$K$2:$K$500,MATCH(90,'Task Log'!$Q$2:$Q$500,0))="","",INDEX('Task Log'!$K$2:$K$500,MATCH(90,'Task Log'!$Q$2:$Q$500,0))),"")</f>
        <v/>
      </c>
      <c r="K94" s="5" t="str">
        <f aca="false">IFERROR(IF(INDEX('Task Log'!$N$2:$N$500,MATCH(90,'Task Log'!$Q$2:$Q$500,0))="","",INDEX('Task Log'!$N$2:$N$500,MATCH(90,'Task Log'!$Q$2:$Q$500,0))),"")</f>
        <v/>
      </c>
      <c r="L94" s="5" t="str">
        <f aca="false">IFERROR(IF(INDEX('Task Log'!$P$2:$P$500,MATCH(90,'Task Log'!$Q$2:$Q$500,0))="","",INDEX('Task Log'!$P$2:$P$500,MATCH(90,'Task Log'!$Q$2:$Q$500,0))),"")</f>
        <v/>
      </c>
    </row>
    <row r="95" customFormat="false" ht="15" hidden="false" customHeight="false" outlineLevel="0" collapsed="false">
      <c r="A95" s="5" t="str">
        <f aca="false">IFERROR(IF(MATCH(91,'Task Log'!$Q$2:$Q$500,0)&gt;0,91,""),"")</f>
        <v/>
      </c>
      <c r="B95" s="15" t="str">
        <f aca="false">IFERROR(IF(INDEX('Task Log'!$C$2:$C$500,MATCH(91,'Task Log'!$Q$2:$Q$500,0))="","",INDEX('Task Log'!$C$2:$C$500,MATCH(91,'Task Log'!$Q$2:$Q$500,0))),"")</f>
        <v/>
      </c>
      <c r="C95" s="15" t="str">
        <f aca="false">IFERROR(IF(INDEX('Task Log'!$D$2:$D$500,MATCH(91,'Task Log'!$Q$2:$Q$500,0))="","",INDEX('Task Log'!$D$2:$D$500,MATCH(91,'Task Log'!$Q$2:$Q$500,0))),"")</f>
        <v/>
      </c>
      <c r="D95" s="15" t="str">
        <f aca="false">IFERROR(IF(INDEX('Task Log'!$E$2:$E$500,MATCH(91,'Task Log'!$Q$2:$Q$500,0))="","",INDEX('Task Log'!$E$2:$E$500,MATCH(91,'Task Log'!$Q$2:$Q$500,0))),"")</f>
        <v/>
      </c>
      <c r="E95" s="5" t="str">
        <f aca="false">IFERROR(IF(INDEX('Task Log'!$G$2:$G$500,MATCH(91,'Task Log'!$Q$2:$Q$500,0))="","",INDEX('Task Log'!$G$2:$G$500,MATCH(91,'Task Log'!$Q$2:$Q$500,0))),"")</f>
        <v/>
      </c>
      <c r="F95" s="11" t="str">
        <f aca="false">IFERROR(IF(INDEX('Task Log'!$H$2:$H$500,MATCH(91,'Task Log'!$Q$2:$Q$500,0))="","",INDEX('Task Log'!$H$2:$H$500,MATCH(91,'Task Log'!$Q$2:$Q$500,0))),"")</f>
        <v/>
      </c>
      <c r="G95" s="11" t="str">
        <f aca="false">IFERROR(IF(INDEX('Task Log'!$I$2:$I$500,MATCH(91,'Task Log'!$Q$2:$Q$500,0))="","",INDEX('Task Log'!$I$2:$I$500,MATCH(91,'Task Log'!$Q$2:$Q$500,0))),"")</f>
        <v/>
      </c>
      <c r="H95" s="15" t="str">
        <f aca="false">IFERROR(IF(INDEX('Task Log'!$J$2:$J$500,MATCH(91,'Task Log'!$Q$2:$Q$500,0))="","",INDEX('Task Log'!$J$2:$J$500,MATCH(91,'Task Log'!$Q$2:$Q$500,0))),"")</f>
        <v/>
      </c>
      <c r="I95" s="5" t="str">
        <f aca="false">IFERROR(IF(INDEX('Task Log'!$O$2:$O$500,MATCH(91,'Task Log'!$Q$2:$Q$500,0))="","",INDEX('Task Log'!$O$2:$O$500,MATCH(91,'Task Log'!$Q$2:$Q$500,0))),"")</f>
        <v/>
      </c>
      <c r="J95" s="5" t="str">
        <f aca="false">IFERROR(IF(INDEX('Task Log'!$K$2:$K$500,MATCH(91,'Task Log'!$Q$2:$Q$500,0))="","",INDEX('Task Log'!$K$2:$K$500,MATCH(91,'Task Log'!$Q$2:$Q$500,0))),"")</f>
        <v/>
      </c>
      <c r="K95" s="5" t="str">
        <f aca="false">IFERROR(IF(INDEX('Task Log'!$N$2:$N$500,MATCH(91,'Task Log'!$Q$2:$Q$500,0))="","",INDEX('Task Log'!$N$2:$N$500,MATCH(91,'Task Log'!$Q$2:$Q$500,0))),"")</f>
        <v/>
      </c>
      <c r="L95" s="5" t="str">
        <f aca="false">IFERROR(IF(INDEX('Task Log'!$P$2:$P$500,MATCH(91,'Task Log'!$Q$2:$Q$500,0))="","",INDEX('Task Log'!$P$2:$P$500,MATCH(91,'Task Log'!$Q$2:$Q$500,0))),"")</f>
        <v/>
      </c>
    </row>
    <row r="96" customFormat="false" ht="15" hidden="false" customHeight="false" outlineLevel="0" collapsed="false">
      <c r="A96" s="5" t="str">
        <f aca="false">IFERROR(IF(MATCH(92,'Task Log'!$Q$2:$Q$500,0)&gt;0,92,""),"")</f>
        <v/>
      </c>
      <c r="B96" s="15" t="str">
        <f aca="false">IFERROR(IF(INDEX('Task Log'!$C$2:$C$500,MATCH(92,'Task Log'!$Q$2:$Q$500,0))="","",INDEX('Task Log'!$C$2:$C$500,MATCH(92,'Task Log'!$Q$2:$Q$500,0))),"")</f>
        <v/>
      </c>
      <c r="C96" s="15" t="str">
        <f aca="false">IFERROR(IF(INDEX('Task Log'!$D$2:$D$500,MATCH(92,'Task Log'!$Q$2:$Q$500,0))="","",INDEX('Task Log'!$D$2:$D$500,MATCH(92,'Task Log'!$Q$2:$Q$500,0))),"")</f>
        <v/>
      </c>
      <c r="D96" s="15" t="str">
        <f aca="false">IFERROR(IF(INDEX('Task Log'!$E$2:$E$500,MATCH(92,'Task Log'!$Q$2:$Q$500,0))="","",INDEX('Task Log'!$E$2:$E$500,MATCH(92,'Task Log'!$Q$2:$Q$500,0))),"")</f>
        <v/>
      </c>
      <c r="E96" s="5" t="str">
        <f aca="false">IFERROR(IF(INDEX('Task Log'!$G$2:$G$500,MATCH(92,'Task Log'!$Q$2:$Q$500,0))="","",INDEX('Task Log'!$G$2:$G$500,MATCH(92,'Task Log'!$Q$2:$Q$500,0))),"")</f>
        <v/>
      </c>
      <c r="F96" s="11" t="str">
        <f aca="false">IFERROR(IF(INDEX('Task Log'!$H$2:$H$500,MATCH(92,'Task Log'!$Q$2:$Q$500,0))="","",INDEX('Task Log'!$H$2:$H$500,MATCH(92,'Task Log'!$Q$2:$Q$500,0))),"")</f>
        <v/>
      </c>
      <c r="G96" s="11" t="str">
        <f aca="false">IFERROR(IF(INDEX('Task Log'!$I$2:$I$500,MATCH(92,'Task Log'!$Q$2:$Q$500,0))="","",INDEX('Task Log'!$I$2:$I$500,MATCH(92,'Task Log'!$Q$2:$Q$500,0))),"")</f>
        <v/>
      </c>
      <c r="H96" s="15" t="str">
        <f aca="false">IFERROR(IF(INDEX('Task Log'!$J$2:$J$500,MATCH(92,'Task Log'!$Q$2:$Q$500,0))="","",INDEX('Task Log'!$J$2:$J$500,MATCH(92,'Task Log'!$Q$2:$Q$500,0))),"")</f>
        <v/>
      </c>
      <c r="I96" s="5" t="str">
        <f aca="false">IFERROR(IF(INDEX('Task Log'!$O$2:$O$500,MATCH(92,'Task Log'!$Q$2:$Q$500,0))="","",INDEX('Task Log'!$O$2:$O$500,MATCH(92,'Task Log'!$Q$2:$Q$500,0))),"")</f>
        <v/>
      </c>
      <c r="J96" s="5" t="str">
        <f aca="false">IFERROR(IF(INDEX('Task Log'!$K$2:$K$500,MATCH(92,'Task Log'!$Q$2:$Q$500,0))="","",INDEX('Task Log'!$K$2:$K$500,MATCH(92,'Task Log'!$Q$2:$Q$500,0))),"")</f>
        <v/>
      </c>
      <c r="K96" s="5" t="str">
        <f aca="false">IFERROR(IF(INDEX('Task Log'!$N$2:$N$500,MATCH(92,'Task Log'!$Q$2:$Q$500,0))="","",INDEX('Task Log'!$N$2:$N$500,MATCH(92,'Task Log'!$Q$2:$Q$500,0))),"")</f>
        <v/>
      </c>
      <c r="L96" s="5" t="str">
        <f aca="false">IFERROR(IF(INDEX('Task Log'!$P$2:$P$500,MATCH(92,'Task Log'!$Q$2:$Q$500,0))="","",INDEX('Task Log'!$P$2:$P$500,MATCH(92,'Task Log'!$Q$2:$Q$500,0))),"")</f>
        <v/>
      </c>
    </row>
    <row r="97" customFormat="false" ht="15" hidden="false" customHeight="false" outlineLevel="0" collapsed="false">
      <c r="A97" s="5" t="str">
        <f aca="false">IFERROR(IF(MATCH(93,'Task Log'!$Q$2:$Q$500,0)&gt;0,93,""),"")</f>
        <v/>
      </c>
      <c r="B97" s="15" t="str">
        <f aca="false">IFERROR(IF(INDEX('Task Log'!$C$2:$C$500,MATCH(93,'Task Log'!$Q$2:$Q$500,0))="","",INDEX('Task Log'!$C$2:$C$500,MATCH(93,'Task Log'!$Q$2:$Q$500,0))),"")</f>
        <v/>
      </c>
      <c r="C97" s="15" t="str">
        <f aca="false">IFERROR(IF(INDEX('Task Log'!$D$2:$D$500,MATCH(93,'Task Log'!$Q$2:$Q$500,0))="","",INDEX('Task Log'!$D$2:$D$500,MATCH(93,'Task Log'!$Q$2:$Q$500,0))),"")</f>
        <v/>
      </c>
      <c r="D97" s="15" t="str">
        <f aca="false">IFERROR(IF(INDEX('Task Log'!$E$2:$E$500,MATCH(93,'Task Log'!$Q$2:$Q$500,0))="","",INDEX('Task Log'!$E$2:$E$500,MATCH(93,'Task Log'!$Q$2:$Q$500,0))),"")</f>
        <v/>
      </c>
      <c r="E97" s="5" t="str">
        <f aca="false">IFERROR(IF(INDEX('Task Log'!$G$2:$G$500,MATCH(93,'Task Log'!$Q$2:$Q$500,0))="","",INDEX('Task Log'!$G$2:$G$500,MATCH(93,'Task Log'!$Q$2:$Q$500,0))),"")</f>
        <v/>
      </c>
      <c r="F97" s="11" t="str">
        <f aca="false">IFERROR(IF(INDEX('Task Log'!$H$2:$H$500,MATCH(93,'Task Log'!$Q$2:$Q$500,0))="","",INDEX('Task Log'!$H$2:$H$500,MATCH(93,'Task Log'!$Q$2:$Q$500,0))),"")</f>
        <v/>
      </c>
      <c r="G97" s="11" t="str">
        <f aca="false">IFERROR(IF(INDEX('Task Log'!$I$2:$I$500,MATCH(93,'Task Log'!$Q$2:$Q$500,0))="","",INDEX('Task Log'!$I$2:$I$500,MATCH(93,'Task Log'!$Q$2:$Q$500,0))),"")</f>
        <v/>
      </c>
      <c r="H97" s="15" t="str">
        <f aca="false">IFERROR(IF(INDEX('Task Log'!$J$2:$J$500,MATCH(93,'Task Log'!$Q$2:$Q$500,0))="","",INDEX('Task Log'!$J$2:$J$500,MATCH(93,'Task Log'!$Q$2:$Q$500,0))),"")</f>
        <v/>
      </c>
      <c r="I97" s="5" t="str">
        <f aca="false">IFERROR(IF(INDEX('Task Log'!$O$2:$O$500,MATCH(93,'Task Log'!$Q$2:$Q$500,0))="","",INDEX('Task Log'!$O$2:$O$500,MATCH(93,'Task Log'!$Q$2:$Q$500,0))),"")</f>
        <v/>
      </c>
      <c r="J97" s="5" t="str">
        <f aca="false">IFERROR(IF(INDEX('Task Log'!$K$2:$K$500,MATCH(93,'Task Log'!$Q$2:$Q$500,0))="","",INDEX('Task Log'!$K$2:$K$500,MATCH(93,'Task Log'!$Q$2:$Q$500,0))),"")</f>
        <v/>
      </c>
      <c r="K97" s="5" t="str">
        <f aca="false">IFERROR(IF(INDEX('Task Log'!$N$2:$N$500,MATCH(93,'Task Log'!$Q$2:$Q$500,0))="","",INDEX('Task Log'!$N$2:$N$500,MATCH(93,'Task Log'!$Q$2:$Q$500,0))),"")</f>
        <v/>
      </c>
      <c r="L97" s="5" t="str">
        <f aca="false">IFERROR(IF(INDEX('Task Log'!$P$2:$P$500,MATCH(93,'Task Log'!$Q$2:$Q$500,0))="","",INDEX('Task Log'!$P$2:$P$500,MATCH(93,'Task Log'!$Q$2:$Q$500,0))),"")</f>
        <v/>
      </c>
    </row>
    <row r="98" customFormat="false" ht="15" hidden="false" customHeight="false" outlineLevel="0" collapsed="false">
      <c r="A98" s="5" t="str">
        <f aca="false">IFERROR(IF(MATCH(94,'Task Log'!$Q$2:$Q$500,0)&gt;0,94,""),"")</f>
        <v/>
      </c>
      <c r="B98" s="15" t="str">
        <f aca="false">IFERROR(IF(INDEX('Task Log'!$C$2:$C$500,MATCH(94,'Task Log'!$Q$2:$Q$500,0))="","",INDEX('Task Log'!$C$2:$C$500,MATCH(94,'Task Log'!$Q$2:$Q$500,0))),"")</f>
        <v/>
      </c>
      <c r="C98" s="15" t="str">
        <f aca="false">IFERROR(IF(INDEX('Task Log'!$D$2:$D$500,MATCH(94,'Task Log'!$Q$2:$Q$500,0))="","",INDEX('Task Log'!$D$2:$D$500,MATCH(94,'Task Log'!$Q$2:$Q$500,0))),"")</f>
        <v/>
      </c>
      <c r="D98" s="15" t="str">
        <f aca="false">IFERROR(IF(INDEX('Task Log'!$E$2:$E$500,MATCH(94,'Task Log'!$Q$2:$Q$500,0))="","",INDEX('Task Log'!$E$2:$E$500,MATCH(94,'Task Log'!$Q$2:$Q$500,0))),"")</f>
        <v/>
      </c>
      <c r="E98" s="5" t="str">
        <f aca="false">IFERROR(IF(INDEX('Task Log'!$G$2:$G$500,MATCH(94,'Task Log'!$Q$2:$Q$500,0))="","",INDEX('Task Log'!$G$2:$G$500,MATCH(94,'Task Log'!$Q$2:$Q$500,0))),"")</f>
        <v/>
      </c>
      <c r="F98" s="11" t="str">
        <f aca="false">IFERROR(IF(INDEX('Task Log'!$H$2:$H$500,MATCH(94,'Task Log'!$Q$2:$Q$500,0))="","",INDEX('Task Log'!$H$2:$H$500,MATCH(94,'Task Log'!$Q$2:$Q$500,0))),"")</f>
        <v/>
      </c>
      <c r="G98" s="11" t="str">
        <f aca="false">IFERROR(IF(INDEX('Task Log'!$I$2:$I$500,MATCH(94,'Task Log'!$Q$2:$Q$500,0))="","",INDEX('Task Log'!$I$2:$I$500,MATCH(94,'Task Log'!$Q$2:$Q$500,0))),"")</f>
        <v/>
      </c>
      <c r="H98" s="15" t="str">
        <f aca="false">IFERROR(IF(INDEX('Task Log'!$J$2:$J$500,MATCH(94,'Task Log'!$Q$2:$Q$500,0))="","",INDEX('Task Log'!$J$2:$J$500,MATCH(94,'Task Log'!$Q$2:$Q$500,0))),"")</f>
        <v/>
      </c>
      <c r="I98" s="5" t="str">
        <f aca="false">IFERROR(IF(INDEX('Task Log'!$O$2:$O$500,MATCH(94,'Task Log'!$Q$2:$Q$500,0))="","",INDEX('Task Log'!$O$2:$O$500,MATCH(94,'Task Log'!$Q$2:$Q$500,0))),"")</f>
        <v/>
      </c>
      <c r="J98" s="5" t="str">
        <f aca="false">IFERROR(IF(INDEX('Task Log'!$K$2:$K$500,MATCH(94,'Task Log'!$Q$2:$Q$500,0))="","",INDEX('Task Log'!$K$2:$K$500,MATCH(94,'Task Log'!$Q$2:$Q$500,0))),"")</f>
        <v/>
      </c>
      <c r="K98" s="5" t="str">
        <f aca="false">IFERROR(IF(INDEX('Task Log'!$N$2:$N$500,MATCH(94,'Task Log'!$Q$2:$Q$500,0))="","",INDEX('Task Log'!$N$2:$N$500,MATCH(94,'Task Log'!$Q$2:$Q$500,0))),"")</f>
        <v/>
      </c>
      <c r="L98" s="5" t="str">
        <f aca="false">IFERROR(IF(INDEX('Task Log'!$P$2:$P$500,MATCH(94,'Task Log'!$Q$2:$Q$500,0))="","",INDEX('Task Log'!$P$2:$P$500,MATCH(94,'Task Log'!$Q$2:$Q$500,0))),"")</f>
        <v/>
      </c>
    </row>
    <row r="99" customFormat="false" ht="15" hidden="false" customHeight="false" outlineLevel="0" collapsed="false">
      <c r="A99" s="5" t="str">
        <f aca="false">IFERROR(IF(MATCH(95,'Task Log'!$Q$2:$Q$500,0)&gt;0,95,""),"")</f>
        <v/>
      </c>
      <c r="B99" s="15" t="str">
        <f aca="false">IFERROR(IF(INDEX('Task Log'!$C$2:$C$500,MATCH(95,'Task Log'!$Q$2:$Q$500,0))="","",INDEX('Task Log'!$C$2:$C$500,MATCH(95,'Task Log'!$Q$2:$Q$500,0))),"")</f>
        <v/>
      </c>
      <c r="C99" s="15" t="str">
        <f aca="false">IFERROR(IF(INDEX('Task Log'!$D$2:$D$500,MATCH(95,'Task Log'!$Q$2:$Q$500,0))="","",INDEX('Task Log'!$D$2:$D$500,MATCH(95,'Task Log'!$Q$2:$Q$500,0))),"")</f>
        <v/>
      </c>
      <c r="D99" s="15" t="str">
        <f aca="false">IFERROR(IF(INDEX('Task Log'!$E$2:$E$500,MATCH(95,'Task Log'!$Q$2:$Q$500,0))="","",INDEX('Task Log'!$E$2:$E$500,MATCH(95,'Task Log'!$Q$2:$Q$500,0))),"")</f>
        <v/>
      </c>
      <c r="E99" s="5" t="str">
        <f aca="false">IFERROR(IF(INDEX('Task Log'!$G$2:$G$500,MATCH(95,'Task Log'!$Q$2:$Q$500,0))="","",INDEX('Task Log'!$G$2:$G$500,MATCH(95,'Task Log'!$Q$2:$Q$500,0))),"")</f>
        <v/>
      </c>
      <c r="F99" s="11" t="str">
        <f aca="false">IFERROR(IF(INDEX('Task Log'!$H$2:$H$500,MATCH(95,'Task Log'!$Q$2:$Q$500,0))="","",INDEX('Task Log'!$H$2:$H$500,MATCH(95,'Task Log'!$Q$2:$Q$500,0))),"")</f>
        <v/>
      </c>
      <c r="G99" s="11" t="str">
        <f aca="false">IFERROR(IF(INDEX('Task Log'!$I$2:$I$500,MATCH(95,'Task Log'!$Q$2:$Q$500,0))="","",INDEX('Task Log'!$I$2:$I$500,MATCH(95,'Task Log'!$Q$2:$Q$500,0))),"")</f>
        <v/>
      </c>
      <c r="H99" s="15" t="str">
        <f aca="false">IFERROR(IF(INDEX('Task Log'!$J$2:$J$500,MATCH(95,'Task Log'!$Q$2:$Q$500,0))="","",INDEX('Task Log'!$J$2:$J$500,MATCH(95,'Task Log'!$Q$2:$Q$500,0))),"")</f>
        <v/>
      </c>
      <c r="I99" s="5" t="str">
        <f aca="false">IFERROR(IF(INDEX('Task Log'!$O$2:$O$500,MATCH(95,'Task Log'!$Q$2:$Q$500,0))="","",INDEX('Task Log'!$O$2:$O$500,MATCH(95,'Task Log'!$Q$2:$Q$500,0))),"")</f>
        <v/>
      </c>
      <c r="J99" s="5" t="str">
        <f aca="false">IFERROR(IF(INDEX('Task Log'!$K$2:$K$500,MATCH(95,'Task Log'!$Q$2:$Q$500,0))="","",INDEX('Task Log'!$K$2:$K$500,MATCH(95,'Task Log'!$Q$2:$Q$500,0))),"")</f>
        <v/>
      </c>
      <c r="K99" s="5" t="str">
        <f aca="false">IFERROR(IF(INDEX('Task Log'!$N$2:$N$500,MATCH(95,'Task Log'!$Q$2:$Q$500,0))="","",INDEX('Task Log'!$N$2:$N$500,MATCH(95,'Task Log'!$Q$2:$Q$500,0))),"")</f>
        <v/>
      </c>
      <c r="L99" s="5" t="str">
        <f aca="false">IFERROR(IF(INDEX('Task Log'!$P$2:$P$500,MATCH(95,'Task Log'!$Q$2:$Q$500,0))="","",INDEX('Task Log'!$P$2:$P$500,MATCH(95,'Task Log'!$Q$2:$Q$500,0))),"")</f>
        <v/>
      </c>
    </row>
    <row r="100" customFormat="false" ht="15" hidden="false" customHeight="false" outlineLevel="0" collapsed="false">
      <c r="A100" s="5" t="str">
        <f aca="false">IFERROR(IF(MATCH(96,'Task Log'!$Q$2:$Q$500,0)&gt;0,96,""),"")</f>
        <v/>
      </c>
      <c r="B100" s="15" t="str">
        <f aca="false">IFERROR(IF(INDEX('Task Log'!$C$2:$C$500,MATCH(96,'Task Log'!$Q$2:$Q$500,0))="","",INDEX('Task Log'!$C$2:$C$500,MATCH(96,'Task Log'!$Q$2:$Q$500,0))),"")</f>
        <v/>
      </c>
      <c r="C100" s="15" t="str">
        <f aca="false">IFERROR(IF(INDEX('Task Log'!$D$2:$D$500,MATCH(96,'Task Log'!$Q$2:$Q$500,0))="","",INDEX('Task Log'!$D$2:$D$500,MATCH(96,'Task Log'!$Q$2:$Q$500,0))),"")</f>
        <v/>
      </c>
      <c r="D100" s="15" t="str">
        <f aca="false">IFERROR(IF(INDEX('Task Log'!$E$2:$E$500,MATCH(96,'Task Log'!$Q$2:$Q$500,0))="","",INDEX('Task Log'!$E$2:$E$500,MATCH(96,'Task Log'!$Q$2:$Q$500,0))),"")</f>
        <v/>
      </c>
      <c r="E100" s="5" t="str">
        <f aca="false">IFERROR(IF(INDEX('Task Log'!$G$2:$G$500,MATCH(96,'Task Log'!$Q$2:$Q$500,0))="","",INDEX('Task Log'!$G$2:$G$500,MATCH(96,'Task Log'!$Q$2:$Q$500,0))),"")</f>
        <v/>
      </c>
      <c r="F100" s="11" t="str">
        <f aca="false">IFERROR(IF(INDEX('Task Log'!$H$2:$H$500,MATCH(96,'Task Log'!$Q$2:$Q$500,0))="","",INDEX('Task Log'!$H$2:$H$500,MATCH(96,'Task Log'!$Q$2:$Q$500,0))),"")</f>
        <v/>
      </c>
      <c r="G100" s="11" t="str">
        <f aca="false">IFERROR(IF(INDEX('Task Log'!$I$2:$I$500,MATCH(96,'Task Log'!$Q$2:$Q$500,0))="","",INDEX('Task Log'!$I$2:$I$500,MATCH(96,'Task Log'!$Q$2:$Q$500,0))),"")</f>
        <v/>
      </c>
      <c r="H100" s="15" t="str">
        <f aca="false">IFERROR(IF(INDEX('Task Log'!$J$2:$J$500,MATCH(96,'Task Log'!$Q$2:$Q$500,0))="","",INDEX('Task Log'!$J$2:$J$500,MATCH(96,'Task Log'!$Q$2:$Q$500,0))),"")</f>
        <v/>
      </c>
      <c r="I100" s="5" t="str">
        <f aca="false">IFERROR(IF(INDEX('Task Log'!$O$2:$O$500,MATCH(96,'Task Log'!$Q$2:$Q$500,0))="","",INDEX('Task Log'!$O$2:$O$500,MATCH(96,'Task Log'!$Q$2:$Q$500,0))),"")</f>
        <v/>
      </c>
      <c r="J100" s="5" t="str">
        <f aca="false">IFERROR(IF(INDEX('Task Log'!$K$2:$K$500,MATCH(96,'Task Log'!$Q$2:$Q$500,0))="","",INDEX('Task Log'!$K$2:$K$500,MATCH(96,'Task Log'!$Q$2:$Q$500,0))),"")</f>
        <v/>
      </c>
      <c r="K100" s="5" t="str">
        <f aca="false">IFERROR(IF(INDEX('Task Log'!$N$2:$N$500,MATCH(96,'Task Log'!$Q$2:$Q$500,0))="","",INDEX('Task Log'!$N$2:$N$500,MATCH(96,'Task Log'!$Q$2:$Q$500,0))),"")</f>
        <v/>
      </c>
      <c r="L100" s="5" t="str">
        <f aca="false">IFERROR(IF(INDEX('Task Log'!$P$2:$P$500,MATCH(96,'Task Log'!$Q$2:$Q$500,0))="","",INDEX('Task Log'!$P$2:$P$500,MATCH(96,'Task Log'!$Q$2:$Q$500,0))),"")</f>
        <v/>
      </c>
    </row>
    <row r="101" customFormat="false" ht="15" hidden="false" customHeight="false" outlineLevel="0" collapsed="false">
      <c r="A101" s="5" t="str">
        <f aca="false">IFERROR(IF(MATCH(97,'Task Log'!$Q$2:$Q$500,0)&gt;0,97,""),"")</f>
        <v/>
      </c>
      <c r="B101" s="15" t="str">
        <f aca="false">IFERROR(IF(INDEX('Task Log'!$C$2:$C$500,MATCH(97,'Task Log'!$Q$2:$Q$500,0))="","",INDEX('Task Log'!$C$2:$C$500,MATCH(97,'Task Log'!$Q$2:$Q$500,0))),"")</f>
        <v/>
      </c>
      <c r="C101" s="15" t="str">
        <f aca="false">IFERROR(IF(INDEX('Task Log'!$D$2:$D$500,MATCH(97,'Task Log'!$Q$2:$Q$500,0))="","",INDEX('Task Log'!$D$2:$D$500,MATCH(97,'Task Log'!$Q$2:$Q$500,0))),"")</f>
        <v/>
      </c>
      <c r="D101" s="15" t="str">
        <f aca="false">IFERROR(IF(INDEX('Task Log'!$E$2:$E$500,MATCH(97,'Task Log'!$Q$2:$Q$500,0))="","",INDEX('Task Log'!$E$2:$E$500,MATCH(97,'Task Log'!$Q$2:$Q$500,0))),"")</f>
        <v/>
      </c>
      <c r="E101" s="5" t="str">
        <f aca="false">IFERROR(IF(INDEX('Task Log'!$G$2:$G$500,MATCH(97,'Task Log'!$Q$2:$Q$500,0))="","",INDEX('Task Log'!$G$2:$G$500,MATCH(97,'Task Log'!$Q$2:$Q$500,0))),"")</f>
        <v/>
      </c>
      <c r="F101" s="11" t="str">
        <f aca="false">IFERROR(IF(INDEX('Task Log'!$H$2:$H$500,MATCH(97,'Task Log'!$Q$2:$Q$500,0))="","",INDEX('Task Log'!$H$2:$H$500,MATCH(97,'Task Log'!$Q$2:$Q$500,0))),"")</f>
        <v/>
      </c>
      <c r="G101" s="11" t="str">
        <f aca="false">IFERROR(IF(INDEX('Task Log'!$I$2:$I$500,MATCH(97,'Task Log'!$Q$2:$Q$500,0))="","",INDEX('Task Log'!$I$2:$I$500,MATCH(97,'Task Log'!$Q$2:$Q$500,0))),"")</f>
        <v/>
      </c>
      <c r="H101" s="15" t="str">
        <f aca="false">IFERROR(IF(INDEX('Task Log'!$J$2:$J$500,MATCH(97,'Task Log'!$Q$2:$Q$500,0))="","",INDEX('Task Log'!$J$2:$J$500,MATCH(97,'Task Log'!$Q$2:$Q$500,0))),"")</f>
        <v/>
      </c>
      <c r="I101" s="5" t="str">
        <f aca="false">IFERROR(IF(INDEX('Task Log'!$O$2:$O$500,MATCH(97,'Task Log'!$Q$2:$Q$500,0))="","",INDEX('Task Log'!$O$2:$O$500,MATCH(97,'Task Log'!$Q$2:$Q$500,0))),"")</f>
        <v/>
      </c>
      <c r="J101" s="5" t="str">
        <f aca="false">IFERROR(IF(INDEX('Task Log'!$K$2:$K$500,MATCH(97,'Task Log'!$Q$2:$Q$500,0))="","",INDEX('Task Log'!$K$2:$K$500,MATCH(97,'Task Log'!$Q$2:$Q$500,0))),"")</f>
        <v/>
      </c>
      <c r="K101" s="5" t="str">
        <f aca="false">IFERROR(IF(INDEX('Task Log'!$N$2:$N$500,MATCH(97,'Task Log'!$Q$2:$Q$500,0))="","",INDEX('Task Log'!$N$2:$N$500,MATCH(97,'Task Log'!$Q$2:$Q$500,0))),"")</f>
        <v/>
      </c>
      <c r="L101" s="5" t="str">
        <f aca="false">IFERROR(IF(INDEX('Task Log'!$P$2:$P$500,MATCH(97,'Task Log'!$Q$2:$Q$500,0))="","",INDEX('Task Log'!$P$2:$P$500,MATCH(97,'Task Log'!$Q$2:$Q$500,0))),"")</f>
        <v/>
      </c>
    </row>
    <row r="102" customFormat="false" ht="15" hidden="false" customHeight="false" outlineLevel="0" collapsed="false">
      <c r="A102" s="5" t="str">
        <f aca="false">IFERROR(IF(MATCH(98,'Task Log'!$Q$2:$Q$500,0)&gt;0,98,""),"")</f>
        <v/>
      </c>
      <c r="B102" s="15" t="str">
        <f aca="false">IFERROR(IF(INDEX('Task Log'!$C$2:$C$500,MATCH(98,'Task Log'!$Q$2:$Q$500,0))="","",INDEX('Task Log'!$C$2:$C$500,MATCH(98,'Task Log'!$Q$2:$Q$500,0))),"")</f>
        <v/>
      </c>
      <c r="C102" s="15" t="str">
        <f aca="false">IFERROR(IF(INDEX('Task Log'!$D$2:$D$500,MATCH(98,'Task Log'!$Q$2:$Q$500,0))="","",INDEX('Task Log'!$D$2:$D$500,MATCH(98,'Task Log'!$Q$2:$Q$500,0))),"")</f>
        <v/>
      </c>
      <c r="D102" s="15" t="str">
        <f aca="false">IFERROR(IF(INDEX('Task Log'!$E$2:$E$500,MATCH(98,'Task Log'!$Q$2:$Q$500,0))="","",INDEX('Task Log'!$E$2:$E$500,MATCH(98,'Task Log'!$Q$2:$Q$500,0))),"")</f>
        <v/>
      </c>
      <c r="E102" s="5" t="str">
        <f aca="false">IFERROR(IF(INDEX('Task Log'!$G$2:$G$500,MATCH(98,'Task Log'!$Q$2:$Q$500,0))="","",INDEX('Task Log'!$G$2:$G$500,MATCH(98,'Task Log'!$Q$2:$Q$500,0))),"")</f>
        <v/>
      </c>
      <c r="F102" s="11" t="str">
        <f aca="false">IFERROR(IF(INDEX('Task Log'!$H$2:$H$500,MATCH(98,'Task Log'!$Q$2:$Q$500,0))="","",INDEX('Task Log'!$H$2:$H$500,MATCH(98,'Task Log'!$Q$2:$Q$500,0))),"")</f>
        <v/>
      </c>
      <c r="G102" s="11" t="str">
        <f aca="false">IFERROR(IF(INDEX('Task Log'!$I$2:$I$500,MATCH(98,'Task Log'!$Q$2:$Q$500,0))="","",INDEX('Task Log'!$I$2:$I$500,MATCH(98,'Task Log'!$Q$2:$Q$500,0))),"")</f>
        <v/>
      </c>
      <c r="H102" s="15" t="str">
        <f aca="false">IFERROR(IF(INDEX('Task Log'!$J$2:$J$500,MATCH(98,'Task Log'!$Q$2:$Q$500,0))="","",INDEX('Task Log'!$J$2:$J$500,MATCH(98,'Task Log'!$Q$2:$Q$500,0))),"")</f>
        <v/>
      </c>
      <c r="I102" s="5" t="str">
        <f aca="false">IFERROR(IF(INDEX('Task Log'!$O$2:$O$500,MATCH(98,'Task Log'!$Q$2:$Q$500,0))="","",INDEX('Task Log'!$O$2:$O$500,MATCH(98,'Task Log'!$Q$2:$Q$500,0))),"")</f>
        <v/>
      </c>
      <c r="J102" s="5" t="str">
        <f aca="false">IFERROR(IF(INDEX('Task Log'!$K$2:$K$500,MATCH(98,'Task Log'!$Q$2:$Q$500,0))="","",INDEX('Task Log'!$K$2:$K$500,MATCH(98,'Task Log'!$Q$2:$Q$500,0))),"")</f>
        <v/>
      </c>
      <c r="K102" s="5" t="str">
        <f aca="false">IFERROR(IF(INDEX('Task Log'!$N$2:$N$500,MATCH(98,'Task Log'!$Q$2:$Q$500,0))="","",INDEX('Task Log'!$N$2:$N$500,MATCH(98,'Task Log'!$Q$2:$Q$500,0))),"")</f>
        <v/>
      </c>
      <c r="L102" s="5" t="str">
        <f aca="false">IFERROR(IF(INDEX('Task Log'!$P$2:$P$500,MATCH(98,'Task Log'!$Q$2:$Q$500,0))="","",INDEX('Task Log'!$P$2:$P$500,MATCH(98,'Task Log'!$Q$2:$Q$500,0))),"")</f>
        <v/>
      </c>
    </row>
    <row r="103" customFormat="false" ht="15" hidden="false" customHeight="false" outlineLevel="0" collapsed="false">
      <c r="A103" s="5" t="str">
        <f aca="false">IFERROR(IF(MATCH(99,'Task Log'!$Q$2:$Q$500,0)&gt;0,99,""),"")</f>
        <v/>
      </c>
      <c r="B103" s="15" t="str">
        <f aca="false">IFERROR(IF(INDEX('Task Log'!$C$2:$C$500,MATCH(99,'Task Log'!$Q$2:$Q$500,0))="","",INDEX('Task Log'!$C$2:$C$500,MATCH(99,'Task Log'!$Q$2:$Q$500,0))),"")</f>
        <v/>
      </c>
      <c r="C103" s="15" t="str">
        <f aca="false">IFERROR(IF(INDEX('Task Log'!$D$2:$D$500,MATCH(99,'Task Log'!$Q$2:$Q$500,0))="","",INDEX('Task Log'!$D$2:$D$500,MATCH(99,'Task Log'!$Q$2:$Q$500,0))),"")</f>
        <v/>
      </c>
      <c r="D103" s="15" t="str">
        <f aca="false">IFERROR(IF(INDEX('Task Log'!$E$2:$E$500,MATCH(99,'Task Log'!$Q$2:$Q$500,0))="","",INDEX('Task Log'!$E$2:$E$500,MATCH(99,'Task Log'!$Q$2:$Q$500,0))),"")</f>
        <v/>
      </c>
      <c r="E103" s="5" t="str">
        <f aca="false">IFERROR(IF(INDEX('Task Log'!$G$2:$G$500,MATCH(99,'Task Log'!$Q$2:$Q$500,0))="","",INDEX('Task Log'!$G$2:$G$500,MATCH(99,'Task Log'!$Q$2:$Q$500,0))),"")</f>
        <v/>
      </c>
      <c r="F103" s="11" t="str">
        <f aca="false">IFERROR(IF(INDEX('Task Log'!$H$2:$H$500,MATCH(99,'Task Log'!$Q$2:$Q$500,0))="","",INDEX('Task Log'!$H$2:$H$500,MATCH(99,'Task Log'!$Q$2:$Q$500,0))),"")</f>
        <v/>
      </c>
      <c r="G103" s="11" t="str">
        <f aca="false">IFERROR(IF(INDEX('Task Log'!$I$2:$I$500,MATCH(99,'Task Log'!$Q$2:$Q$500,0))="","",INDEX('Task Log'!$I$2:$I$500,MATCH(99,'Task Log'!$Q$2:$Q$500,0))),"")</f>
        <v/>
      </c>
      <c r="H103" s="15" t="str">
        <f aca="false">IFERROR(IF(INDEX('Task Log'!$J$2:$J$500,MATCH(99,'Task Log'!$Q$2:$Q$500,0))="","",INDEX('Task Log'!$J$2:$J$500,MATCH(99,'Task Log'!$Q$2:$Q$500,0))),"")</f>
        <v/>
      </c>
      <c r="I103" s="5" t="str">
        <f aca="false">IFERROR(IF(INDEX('Task Log'!$O$2:$O$500,MATCH(99,'Task Log'!$Q$2:$Q$500,0))="","",INDEX('Task Log'!$O$2:$O$500,MATCH(99,'Task Log'!$Q$2:$Q$500,0))),"")</f>
        <v/>
      </c>
      <c r="J103" s="5" t="str">
        <f aca="false">IFERROR(IF(INDEX('Task Log'!$K$2:$K$500,MATCH(99,'Task Log'!$Q$2:$Q$500,0))="","",INDEX('Task Log'!$K$2:$K$500,MATCH(99,'Task Log'!$Q$2:$Q$500,0))),"")</f>
        <v/>
      </c>
      <c r="K103" s="5" t="str">
        <f aca="false">IFERROR(IF(INDEX('Task Log'!$N$2:$N$500,MATCH(99,'Task Log'!$Q$2:$Q$500,0))="","",INDEX('Task Log'!$N$2:$N$500,MATCH(99,'Task Log'!$Q$2:$Q$500,0))),"")</f>
        <v/>
      </c>
      <c r="L103" s="5" t="str">
        <f aca="false">IFERROR(IF(INDEX('Task Log'!$P$2:$P$500,MATCH(99,'Task Log'!$Q$2:$Q$500,0))="","",INDEX('Task Log'!$P$2:$P$500,MATCH(99,'Task Log'!$Q$2:$Q$500,0))),"")</f>
        <v/>
      </c>
    </row>
    <row r="104" customFormat="false" ht="15" hidden="false" customHeight="false" outlineLevel="0" collapsed="false">
      <c r="A104" s="5" t="str">
        <f aca="false">IFERROR(IF(MATCH(100,'Task Log'!$Q$2:$Q$500,0)&gt;0,100,""),"")</f>
        <v/>
      </c>
      <c r="B104" s="15" t="str">
        <f aca="false">IFERROR(IF(INDEX('Task Log'!$C$2:$C$500,MATCH(100,'Task Log'!$Q$2:$Q$500,0))="","",INDEX('Task Log'!$C$2:$C$500,MATCH(100,'Task Log'!$Q$2:$Q$500,0))),"")</f>
        <v/>
      </c>
      <c r="C104" s="15" t="str">
        <f aca="false">IFERROR(IF(INDEX('Task Log'!$D$2:$D$500,MATCH(100,'Task Log'!$Q$2:$Q$500,0))="","",INDEX('Task Log'!$D$2:$D$500,MATCH(100,'Task Log'!$Q$2:$Q$500,0))),"")</f>
        <v/>
      </c>
      <c r="D104" s="15" t="str">
        <f aca="false">IFERROR(IF(INDEX('Task Log'!$E$2:$E$500,MATCH(100,'Task Log'!$Q$2:$Q$500,0))="","",INDEX('Task Log'!$E$2:$E$500,MATCH(100,'Task Log'!$Q$2:$Q$500,0))),"")</f>
        <v/>
      </c>
      <c r="E104" s="5" t="str">
        <f aca="false">IFERROR(IF(INDEX('Task Log'!$G$2:$G$500,MATCH(100,'Task Log'!$Q$2:$Q$500,0))="","",INDEX('Task Log'!$G$2:$G$500,MATCH(100,'Task Log'!$Q$2:$Q$500,0))),"")</f>
        <v/>
      </c>
      <c r="F104" s="11" t="str">
        <f aca="false">IFERROR(IF(INDEX('Task Log'!$H$2:$H$500,MATCH(100,'Task Log'!$Q$2:$Q$500,0))="","",INDEX('Task Log'!$H$2:$H$500,MATCH(100,'Task Log'!$Q$2:$Q$500,0))),"")</f>
        <v/>
      </c>
      <c r="G104" s="11" t="str">
        <f aca="false">IFERROR(IF(INDEX('Task Log'!$I$2:$I$500,MATCH(100,'Task Log'!$Q$2:$Q$500,0))="","",INDEX('Task Log'!$I$2:$I$500,MATCH(100,'Task Log'!$Q$2:$Q$500,0))),"")</f>
        <v/>
      </c>
      <c r="H104" s="15" t="str">
        <f aca="false">IFERROR(IF(INDEX('Task Log'!$J$2:$J$500,MATCH(100,'Task Log'!$Q$2:$Q$500,0))="","",INDEX('Task Log'!$J$2:$J$500,MATCH(100,'Task Log'!$Q$2:$Q$500,0))),"")</f>
        <v/>
      </c>
      <c r="I104" s="5" t="str">
        <f aca="false">IFERROR(IF(INDEX('Task Log'!$O$2:$O$500,MATCH(100,'Task Log'!$Q$2:$Q$500,0))="","",INDEX('Task Log'!$O$2:$O$500,MATCH(100,'Task Log'!$Q$2:$Q$500,0))),"")</f>
        <v/>
      </c>
      <c r="J104" s="5" t="str">
        <f aca="false">IFERROR(IF(INDEX('Task Log'!$K$2:$K$500,MATCH(100,'Task Log'!$Q$2:$Q$500,0))="","",INDEX('Task Log'!$K$2:$K$500,MATCH(100,'Task Log'!$Q$2:$Q$500,0))),"")</f>
        <v/>
      </c>
      <c r="K104" s="5" t="str">
        <f aca="false">IFERROR(IF(INDEX('Task Log'!$N$2:$N$500,MATCH(100,'Task Log'!$Q$2:$Q$500,0))="","",INDEX('Task Log'!$N$2:$N$500,MATCH(100,'Task Log'!$Q$2:$Q$500,0))),"")</f>
        <v/>
      </c>
      <c r="L104" s="5" t="str">
        <f aca="false">IFERROR(IF(INDEX('Task Log'!$P$2:$P$500,MATCH(100,'Task Log'!$Q$2:$Q$500,0))="","",INDEX('Task Log'!$P$2:$P$500,MATCH(100,'Task Log'!$Q$2:$Q$500,0))),"")</f>
        <v/>
      </c>
    </row>
  </sheetData>
  <conditionalFormatting sqref="A5:L104">
    <cfRule type="expression" priority="2" aboveAverage="0" equalAverage="0" bottom="0" percent="0" rank="0" text="" dxfId="18">
      <formula>$K5="Carried Forward"</formula>
    </cfRule>
    <cfRule type="expression" priority="3" aboveAverage="0" equalAverage="0" bottom="0" percent="0" rank="0" text="" dxfId="19">
      <formula>$K5="Due Today"</formula>
    </cfRule>
  </conditionalFormatting>
  <conditionalFormatting sqref="I5:I104">
    <cfRule type="cellIs" priority="4" operator="lessThan" aboveAverage="0" equalAverage="0" bottom="0" percent="0" rank="0" text="" dxfId="2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2"/>
    <col collapsed="false" customWidth="true" hidden="false" outlineLevel="0" max="6" min="6" style="0" width="20"/>
    <col collapsed="false" customWidth="true" hidden="false" outlineLevel="0" max="7" min="7" style="0" width="10"/>
    <col collapsed="false" customWidth="true" hidden="false" outlineLevel="0" max="9" min="9" style="0" width="12"/>
    <col collapsed="false" customWidth="true" hidden="false" outlineLevel="0" max="11" min="10" style="0" width="11"/>
    <col collapsed="false" customWidth="true" hidden="false" outlineLevel="0" max="13" min="13" style="0" width="22"/>
    <col collapsed="false" customWidth="true" hidden="false" outlineLevel="0" max="14" min="14" style="0" width="10"/>
  </cols>
  <sheetData>
    <row r="1" customFormat="false" ht="19.7" hidden="false" customHeight="false" outlineLevel="0" collapsed="false">
      <c r="A1" s="16" t="s">
        <v>96</v>
      </c>
    </row>
    <row r="2" customFormat="false" ht="15" hidden="false" customHeight="false" outlineLevel="0" collapsed="false">
      <c r="A2" s="14" t="str">
        <f aca="true">"Live as on "&amp;TEXT(TODAY(),"DD-MMM-YYYY")&amp;" - all figures recalculate automatically"</f>
        <v>Live as on 15-Sep-2026 - all figures recalculate automatically</v>
      </c>
    </row>
    <row r="3" customFormat="false" ht="15" hidden="false" customHeight="false" outlineLevel="0" collapsed="false">
      <c r="A3" s="17" t="s">
        <v>97</v>
      </c>
      <c r="B3" s="18"/>
    </row>
    <row r="4" customFormat="false" ht="15" hidden="false" customHeight="false" outlineLevel="0" collapsed="false">
      <c r="A4" s="19" t="s">
        <v>98</v>
      </c>
      <c r="B4" s="20" t="n">
        <f aca="false">COUNTIF('Task Log'!$D$2:$D$500,"&lt;&gt;")</f>
        <v>6</v>
      </c>
    </row>
    <row r="5" customFormat="false" ht="15" hidden="false" customHeight="false" outlineLevel="0" collapsed="false">
      <c r="A5" s="19" t="s">
        <v>80</v>
      </c>
      <c r="B5" s="20" t="n">
        <f aca="false">COUNTIFS('Task Log'!$D$2:$D$500,"&lt;&gt;",'Task Log'!$K$2:$K$500,"Completed")</f>
        <v>1</v>
      </c>
    </row>
    <row r="6" customFormat="false" ht="15" hidden="false" customHeight="false" outlineLevel="0" collapsed="false">
      <c r="A6" s="19" t="s">
        <v>99</v>
      </c>
      <c r="B6" s="20" t="n">
        <f aca="false">COUNTIFS('Task Log'!$D$2:$D$500,"&lt;&gt;",'Task Log'!$K$2:$K$500,"&lt;&gt;Completed")</f>
        <v>5</v>
      </c>
    </row>
    <row r="7" customFormat="false" ht="15" hidden="false" customHeight="false" outlineLevel="0" collapsed="false">
      <c r="A7" s="19" t="s">
        <v>100</v>
      </c>
      <c r="B7" s="20" t="n">
        <f aca="false">COUNTIF('Task Log'!$N$2:$N$500,"Carried Forward")</f>
        <v>1</v>
      </c>
    </row>
    <row r="8" customFormat="false" ht="15" hidden="false" customHeight="false" outlineLevel="0" collapsed="false">
      <c r="A8" s="19" t="s">
        <v>101</v>
      </c>
      <c r="B8" s="20" t="n">
        <f aca="false">COUNTIF('Task Log'!$N$2:$N$500,"Due Today")</f>
        <v>1</v>
      </c>
    </row>
    <row r="9" customFormat="false" ht="15" hidden="false" customHeight="false" outlineLevel="0" collapsed="false">
      <c r="A9" s="19" t="s">
        <v>102</v>
      </c>
      <c r="B9" s="20" t="n">
        <f aca="true">COUNTIFS('Task Log'!$I$2:$I$500,"&gt;="&amp;TODAY(),'Task Log'!$I$2:$I$500,"&lt;="&amp;(TODAY()+7),'Task Log'!$K$2:$K$500,"&lt;&gt;Completed")</f>
        <v>3</v>
      </c>
    </row>
    <row r="10" customFormat="false" ht="15" hidden="false" customHeight="false" outlineLevel="0" collapsed="false">
      <c r="A10" s="19" t="s">
        <v>103</v>
      </c>
      <c r="B10" s="20" t="n">
        <f aca="true">COUNTIFS('Task Log'!$I$2:$I$500,"&lt;"&amp;TODAY(),'Task Log'!$I$2:$I$500,"&lt;&gt;",'Task Log'!$K$2:$K$500,"&lt;&gt;Completed")</f>
        <v>0</v>
      </c>
    </row>
    <row r="11" customFormat="false" ht="15" hidden="false" customHeight="false" outlineLevel="0" collapsed="false">
      <c r="A11" s="19" t="s">
        <v>104</v>
      </c>
      <c r="B11" s="21" t="n">
        <f aca="false">IFERROR(B5/B4,0)</f>
        <v>0.166666666666667</v>
      </c>
    </row>
    <row r="14" customFormat="false" ht="15" hidden="false" customHeight="false" outlineLevel="0" collapsed="false">
      <c r="A14" s="17" t="s">
        <v>105</v>
      </c>
      <c r="B14" s="18"/>
      <c r="C14" s="18"/>
      <c r="D14" s="18"/>
      <c r="F14" s="17" t="s">
        <v>106</v>
      </c>
      <c r="G14" s="18"/>
      <c r="I14" s="17" t="s">
        <v>107</v>
      </c>
      <c r="J14" s="18"/>
      <c r="K14" s="18"/>
      <c r="M14" s="17" t="s">
        <v>108</v>
      </c>
      <c r="N14" s="18"/>
    </row>
    <row r="15" customFormat="false" ht="15" hidden="false" customHeight="false" outlineLevel="0" collapsed="false">
      <c r="A15" s="22" t="s">
        <v>37</v>
      </c>
      <c r="B15" s="22" t="s">
        <v>109</v>
      </c>
      <c r="C15" s="22" t="s">
        <v>80</v>
      </c>
      <c r="D15" s="22" t="s">
        <v>99</v>
      </c>
      <c r="F15" s="22" t="s">
        <v>45</v>
      </c>
      <c r="G15" s="22" t="s">
        <v>110</v>
      </c>
      <c r="I15" s="22" t="s">
        <v>111</v>
      </c>
      <c r="J15" s="22" t="s">
        <v>112</v>
      </c>
      <c r="K15" s="22" t="s">
        <v>80</v>
      </c>
      <c r="M15" s="22" t="s">
        <v>44</v>
      </c>
      <c r="N15" s="22" t="s">
        <v>110</v>
      </c>
    </row>
    <row r="16" customFormat="false" ht="15" hidden="false" customHeight="false" outlineLevel="0" collapsed="false">
      <c r="A16" s="15" t="s">
        <v>61</v>
      </c>
      <c r="B16" s="5" t="n">
        <f aca="false">COUNTIF('Task Log'!$C$2:$C$500,$A16)</f>
        <v>1</v>
      </c>
      <c r="C16" s="5" t="n">
        <f aca="false">COUNTIFS('Task Log'!$C$2:$C$500,$A16,'Task Log'!$K$2:$K$500,"Completed")</f>
        <v>0</v>
      </c>
      <c r="D16" s="5" t="n">
        <f aca="false">COUNTIFS('Task Log'!$C$2:$C$500,$A16,'Task Log'!$K$2:$K$500,"&lt;&gt;Completed")</f>
        <v>1</v>
      </c>
      <c r="F16" s="15" t="s">
        <v>73</v>
      </c>
      <c r="G16" s="5" t="n">
        <f aca="false">COUNTIF('Task Log'!$K$2:$K$500,$F16)</f>
        <v>2</v>
      </c>
      <c r="I16" s="23" t="n">
        <f aca="true">TODAY()-13</f>
        <v>46267</v>
      </c>
      <c r="J16" s="5" t="n">
        <f aca="false">COUNTIF('Task Log'!$H$2:$H$500,$I16)</f>
        <v>0</v>
      </c>
      <c r="K16" s="5" t="n">
        <f aca="false">COUNTIF('Task Log'!$L$2:$L$500,$I16)</f>
        <v>0</v>
      </c>
      <c r="M16" s="15" t="s">
        <v>65</v>
      </c>
      <c r="N16" s="5" t="n">
        <f aca="true">COUNTIFS('Task Log'!$J$2:$J$500,$M16,'Task Log'!$I$2:$I$500,"&gt;="&amp;TODAY(),'Task Log'!$I$2:$I$500,"&lt;="&amp;(TODAY()+30),'Task Log'!$K$2:$K$500,"&lt;&gt;Completed")</f>
        <v>1</v>
      </c>
    </row>
    <row r="17" customFormat="false" ht="15" hidden="false" customHeight="false" outlineLevel="0" collapsed="false">
      <c r="A17" s="15" t="s">
        <v>113</v>
      </c>
      <c r="B17" s="5" t="n">
        <f aca="false">COUNTIF('Task Log'!$C$2:$C$500,$A17)</f>
        <v>0</v>
      </c>
      <c r="C17" s="5" t="n">
        <f aca="false">COUNTIFS('Task Log'!$C$2:$C$500,$A17,'Task Log'!$K$2:$K$500,"Completed")</f>
        <v>0</v>
      </c>
      <c r="D17" s="5" t="n">
        <f aca="false">COUNTIFS('Task Log'!$C$2:$C$500,$A17,'Task Log'!$K$2:$K$500,"&lt;&gt;Completed")</f>
        <v>0</v>
      </c>
      <c r="F17" s="15" t="s">
        <v>59</v>
      </c>
      <c r="G17" s="5" t="n">
        <f aca="false">COUNTIF('Task Log'!$K$2:$K$500,$F17)</f>
        <v>3</v>
      </c>
      <c r="I17" s="23" t="n">
        <f aca="true">TODAY()-12</f>
        <v>46268</v>
      </c>
      <c r="J17" s="5" t="n">
        <f aca="false">COUNTIF('Task Log'!$H$2:$H$500,$I17)</f>
        <v>0</v>
      </c>
      <c r="K17" s="5" t="n">
        <f aca="false">COUNTIF('Task Log'!$L$2:$L$500,$I17)</f>
        <v>0</v>
      </c>
      <c r="M17" s="15" t="s">
        <v>114</v>
      </c>
      <c r="N17" s="5" t="n">
        <f aca="true">COUNTIFS('Task Log'!$J$2:$J$500,$M17,'Task Log'!$I$2:$I$500,"&gt;="&amp;TODAY(),'Task Log'!$I$2:$I$500,"&lt;="&amp;(TODAY()+30),'Task Log'!$K$2:$K$500,"&lt;&gt;Completed")</f>
        <v>0</v>
      </c>
    </row>
    <row r="18" customFormat="false" ht="15" hidden="false" customHeight="false" outlineLevel="0" collapsed="false">
      <c r="A18" s="15" t="s">
        <v>53</v>
      </c>
      <c r="B18" s="5" t="n">
        <f aca="false">COUNTIF('Task Log'!$C$2:$C$500,$A18)</f>
        <v>1</v>
      </c>
      <c r="C18" s="5" t="n">
        <f aca="false">COUNTIFS('Task Log'!$C$2:$C$500,$A18,'Task Log'!$K$2:$K$500,"Completed")</f>
        <v>0</v>
      </c>
      <c r="D18" s="5" t="n">
        <f aca="false">COUNTIFS('Task Log'!$C$2:$C$500,$A18,'Task Log'!$K$2:$K$500,"&lt;&gt;Completed")</f>
        <v>1</v>
      </c>
      <c r="F18" s="15" t="s">
        <v>115</v>
      </c>
      <c r="G18" s="5" t="n">
        <f aca="false">COUNTIF('Task Log'!$K$2:$K$500,$F18)</f>
        <v>0</v>
      </c>
      <c r="I18" s="23" t="n">
        <f aca="true">TODAY()-11</f>
        <v>46269</v>
      </c>
      <c r="J18" s="5" t="n">
        <f aca="false">COUNTIF('Task Log'!$H$2:$H$500,$I18)</f>
        <v>0</v>
      </c>
      <c r="K18" s="5" t="n">
        <f aca="false">COUNTIF('Task Log'!$L$2:$L$500,$I18)</f>
        <v>0</v>
      </c>
      <c r="M18" s="15" t="s">
        <v>116</v>
      </c>
      <c r="N18" s="5" t="n">
        <f aca="true">COUNTIFS('Task Log'!$J$2:$J$500,$M18,'Task Log'!$I$2:$I$500,"&gt;="&amp;TODAY(),'Task Log'!$I$2:$I$500,"&lt;="&amp;(TODAY()+30),'Task Log'!$K$2:$K$500,"&lt;&gt;Completed")</f>
        <v>0</v>
      </c>
    </row>
    <row r="19" customFormat="false" ht="15" hidden="false" customHeight="false" outlineLevel="0" collapsed="false">
      <c r="A19" s="15" t="s">
        <v>117</v>
      </c>
      <c r="B19" s="5" t="n">
        <f aca="false">COUNTIF('Task Log'!$C$2:$C$500,$A19)</f>
        <v>0</v>
      </c>
      <c r="C19" s="5" t="n">
        <f aca="false">COUNTIFS('Task Log'!$C$2:$C$500,$A19,'Task Log'!$K$2:$K$500,"Completed")</f>
        <v>0</v>
      </c>
      <c r="D19" s="5" t="n">
        <f aca="false">COUNTIFS('Task Log'!$C$2:$C$500,$A19,'Task Log'!$K$2:$K$500,"&lt;&gt;Completed")</f>
        <v>0</v>
      </c>
      <c r="F19" s="15" t="s">
        <v>80</v>
      </c>
      <c r="G19" s="5" t="n">
        <f aca="false">COUNTIF('Task Log'!$K$2:$K$500,$F19)</f>
        <v>1</v>
      </c>
      <c r="I19" s="23" t="n">
        <f aca="true">TODAY()-10</f>
        <v>46270</v>
      </c>
      <c r="J19" s="5" t="n">
        <f aca="false">COUNTIF('Task Log'!$H$2:$H$500,$I19)</f>
        <v>0</v>
      </c>
      <c r="K19" s="5" t="n">
        <f aca="false">COUNTIF('Task Log'!$L$2:$L$500,$I19)</f>
        <v>0</v>
      </c>
      <c r="M19" s="15" t="s">
        <v>58</v>
      </c>
      <c r="N19" s="5" t="n">
        <f aca="true">COUNTIFS('Task Log'!$J$2:$J$500,$M19,'Task Log'!$I$2:$I$500,"&gt;="&amp;TODAY(),'Task Log'!$I$2:$I$500,"&lt;="&amp;(TODAY()+30),'Task Log'!$K$2:$K$500,"&lt;&gt;Completed")</f>
        <v>1</v>
      </c>
    </row>
    <row r="20" customFormat="false" ht="15" hidden="false" customHeight="false" outlineLevel="0" collapsed="false">
      <c r="A20" s="15" t="s">
        <v>67</v>
      </c>
      <c r="B20" s="5" t="n">
        <f aca="false">COUNTIF('Task Log'!$C$2:$C$500,$A20)</f>
        <v>1</v>
      </c>
      <c r="C20" s="5" t="n">
        <f aca="false">COUNTIFS('Task Log'!$C$2:$C$500,$A20,'Task Log'!$K$2:$K$500,"Completed")</f>
        <v>0</v>
      </c>
      <c r="D20" s="5" t="n">
        <f aca="false">COUNTIFS('Task Log'!$C$2:$C$500,$A20,'Task Log'!$K$2:$K$500,"&lt;&gt;Completed")</f>
        <v>1</v>
      </c>
      <c r="I20" s="23" t="n">
        <f aca="true">TODAY()-9</f>
        <v>46271</v>
      </c>
      <c r="J20" s="5" t="n">
        <f aca="false">COUNTIF('Task Log'!$H$2:$H$500,$I20)</f>
        <v>0</v>
      </c>
      <c r="K20" s="5" t="n">
        <f aca="false">COUNTIF('Task Log'!$L$2:$L$500,$I20)</f>
        <v>0</v>
      </c>
      <c r="M20" s="15" t="s">
        <v>118</v>
      </c>
      <c r="N20" s="5" t="n">
        <f aca="true">COUNTIFS('Task Log'!$J$2:$J$500,$M20,'Task Log'!$I$2:$I$500,"&gt;="&amp;TODAY(),'Task Log'!$I$2:$I$500,"&lt;="&amp;(TODAY()+30),'Task Log'!$K$2:$K$500,"&lt;&gt;Completed")</f>
        <v>0</v>
      </c>
    </row>
    <row r="21" customFormat="false" ht="15" hidden="false" customHeight="false" outlineLevel="0" collapsed="false">
      <c r="A21" s="15" t="s">
        <v>88</v>
      </c>
      <c r="B21" s="5" t="n">
        <f aca="false">COUNTIF('Task Log'!$C$2:$C$500,$A21)</f>
        <v>1</v>
      </c>
      <c r="C21" s="5" t="n">
        <f aca="false">COUNTIFS('Task Log'!$C$2:$C$500,$A21,'Task Log'!$K$2:$K$500,"Completed")</f>
        <v>0</v>
      </c>
      <c r="D21" s="5" t="n">
        <f aca="false">COUNTIFS('Task Log'!$C$2:$C$500,$A21,'Task Log'!$K$2:$K$500,"&lt;&gt;Completed")</f>
        <v>1</v>
      </c>
      <c r="I21" s="23" t="n">
        <f aca="true">TODAY()-8</f>
        <v>46272</v>
      </c>
      <c r="J21" s="5" t="n">
        <f aca="false">COUNTIF('Task Log'!$H$2:$H$500,$I21)</f>
        <v>0</v>
      </c>
      <c r="K21" s="5" t="n">
        <f aca="false">COUNTIF('Task Log'!$L$2:$L$500,$I21)</f>
        <v>0</v>
      </c>
      <c r="M21" s="15" t="s">
        <v>79</v>
      </c>
      <c r="N21" s="5" t="n">
        <f aca="true">COUNTIFS('Task Log'!$J$2:$J$500,$M21,'Task Log'!$I$2:$I$500,"&gt;="&amp;TODAY(),'Task Log'!$I$2:$I$500,"&lt;="&amp;(TODAY()+30),'Task Log'!$K$2:$K$500,"&lt;&gt;Completed")</f>
        <v>0</v>
      </c>
    </row>
    <row r="22" customFormat="false" ht="15" hidden="false" customHeight="false" outlineLevel="0" collapsed="false">
      <c r="A22" s="15" t="s">
        <v>119</v>
      </c>
      <c r="B22" s="5" t="n">
        <f aca="false">COUNTIF('Task Log'!$C$2:$C$500,$A22)</f>
        <v>0</v>
      </c>
      <c r="C22" s="5" t="n">
        <f aca="false">COUNTIFS('Task Log'!$C$2:$C$500,$A22,'Task Log'!$K$2:$K$500,"Completed")</f>
        <v>0</v>
      </c>
      <c r="D22" s="5" t="n">
        <f aca="false">COUNTIFS('Task Log'!$C$2:$C$500,$A22,'Task Log'!$K$2:$K$500,"&lt;&gt;Completed")</f>
        <v>0</v>
      </c>
      <c r="F22" s="17" t="s">
        <v>120</v>
      </c>
      <c r="G22" s="18"/>
      <c r="I22" s="23" t="n">
        <f aca="true">TODAY()-7</f>
        <v>46273</v>
      </c>
      <c r="J22" s="5" t="n">
        <f aca="false">COUNTIF('Task Log'!$H$2:$H$500,$I22)</f>
        <v>0</v>
      </c>
      <c r="K22" s="5" t="n">
        <f aca="false">COUNTIF('Task Log'!$L$2:$L$500,$I22)</f>
        <v>0</v>
      </c>
      <c r="M22" s="15" t="s">
        <v>72</v>
      </c>
      <c r="N22" s="5" t="n">
        <f aca="true">COUNTIFS('Task Log'!$J$2:$J$500,$M22,'Task Log'!$I$2:$I$500,"&gt;="&amp;TODAY(),'Task Log'!$I$2:$I$500,"&lt;="&amp;(TODAY()+30),'Task Log'!$K$2:$K$500,"&lt;&gt;Completed")</f>
        <v>1</v>
      </c>
    </row>
    <row r="23" customFormat="false" ht="15" hidden="false" customHeight="false" outlineLevel="0" collapsed="false">
      <c r="A23" s="15" t="s">
        <v>82</v>
      </c>
      <c r="B23" s="5" t="n">
        <f aca="false">COUNTIF('Task Log'!$C$2:$C$500,$A23)</f>
        <v>1</v>
      </c>
      <c r="C23" s="5" t="n">
        <f aca="false">COUNTIFS('Task Log'!$C$2:$C$500,$A23,'Task Log'!$K$2:$K$500,"Completed")</f>
        <v>0</v>
      </c>
      <c r="D23" s="5" t="n">
        <f aca="false">COUNTIFS('Task Log'!$C$2:$C$500,$A23,'Task Log'!$K$2:$K$500,"&lt;&gt;Completed")</f>
        <v>1</v>
      </c>
      <c r="F23" s="22" t="s">
        <v>41</v>
      </c>
      <c r="G23" s="22" t="s">
        <v>99</v>
      </c>
      <c r="I23" s="23" t="n">
        <f aca="true">TODAY()-6</f>
        <v>46274</v>
      </c>
      <c r="J23" s="5" t="n">
        <f aca="false">COUNTIF('Task Log'!$H$2:$H$500,$I23)</f>
        <v>0</v>
      </c>
      <c r="K23" s="5" t="n">
        <f aca="false">COUNTIF('Task Log'!$L$2:$L$500,$I23)</f>
        <v>0</v>
      </c>
      <c r="M23" s="15" t="s">
        <v>121</v>
      </c>
      <c r="N23" s="5" t="n">
        <f aca="true">COUNTIFS('Task Log'!$J$2:$J$500,$M23,'Task Log'!$I$2:$I$500,"&gt;="&amp;TODAY(),'Task Log'!$I$2:$I$500,"&lt;="&amp;(TODAY()+30),'Task Log'!$K$2:$K$500,"&lt;&gt;Completed")</f>
        <v>0</v>
      </c>
    </row>
    <row r="24" customFormat="false" ht="15" hidden="false" customHeight="false" outlineLevel="0" collapsed="false">
      <c r="A24" s="15" t="s">
        <v>122</v>
      </c>
      <c r="B24" s="5" t="n">
        <f aca="false">COUNTIF('Task Log'!$C$2:$C$500,$A24)</f>
        <v>0</v>
      </c>
      <c r="C24" s="5" t="n">
        <f aca="false">COUNTIFS('Task Log'!$C$2:$C$500,$A24,'Task Log'!$K$2:$K$500,"Completed")</f>
        <v>0</v>
      </c>
      <c r="D24" s="5" t="n">
        <f aca="false">COUNTIFS('Task Log'!$C$2:$C$500,$A24,'Task Log'!$K$2:$K$500,"&lt;&gt;Completed")</f>
        <v>0</v>
      </c>
      <c r="F24" s="15" t="s">
        <v>57</v>
      </c>
      <c r="G24" s="5" t="n">
        <f aca="false">COUNTIFS('Task Log'!$G$2:$G$500,$F24,'Task Log'!$K$2:$K$500,"&lt;&gt;Completed")</f>
        <v>3</v>
      </c>
      <c r="I24" s="23" t="n">
        <f aca="true">TODAY()-5</f>
        <v>46275</v>
      </c>
      <c r="J24" s="5" t="n">
        <f aca="false">COUNTIF('Task Log'!$H$2:$H$500,$I24)</f>
        <v>1</v>
      </c>
      <c r="K24" s="5" t="n">
        <f aca="false">COUNTIF('Task Log'!$L$2:$L$500,$I24)</f>
        <v>1</v>
      </c>
      <c r="M24" s="15" t="s">
        <v>91</v>
      </c>
      <c r="N24" s="5" t="n">
        <f aca="true">COUNTIFS('Task Log'!$J$2:$J$500,$M24,'Task Log'!$I$2:$I$500,"&gt;="&amp;TODAY(),'Task Log'!$I$2:$I$500,"&lt;="&amp;(TODAY()+30),'Task Log'!$K$2:$K$500,"&lt;&gt;Completed")</f>
        <v>1</v>
      </c>
    </row>
    <row r="25" customFormat="false" ht="15" hidden="false" customHeight="false" outlineLevel="0" collapsed="false">
      <c r="A25" s="15" t="s">
        <v>123</v>
      </c>
      <c r="B25" s="5" t="n">
        <f aca="false">COUNTIF('Task Log'!$C$2:$C$500,$A25)</f>
        <v>0</v>
      </c>
      <c r="C25" s="5" t="n">
        <f aca="false">COUNTIFS('Task Log'!$C$2:$C$500,$A25,'Task Log'!$K$2:$K$500,"Completed")</f>
        <v>0</v>
      </c>
      <c r="D25" s="5" t="n">
        <f aca="false">COUNTIFS('Task Log'!$C$2:$C$500,$A25,'Task Log'!$K$2:$K$500,"&lt;&gt;Completed")</f>
        <v>0</v>
      </c>
      <c r="F25" s="15" t="s">
        <v>71</v>
      </c>
      <c r="G25" s="5" t="n">
        <f aca="false">COUNTIFS('Task Log'!$G$2:$G$500,$F25,'Task Log'!$K$2:$K$500,"&lt;&gt;Completed")</f>
        <v>1</v>
      </c>
      <c r="I25" s="23" t="n">
        <f aca="true">TODAY()-4</f>
        <v>46276</v>
      </c>
      <c r="J25" s="5" t="n">
        <f aca="false">COUNTIF('Task Log'!$H$2:$H$500,$I25)</f>
        <v>0</v>
      </c>
      <c r="K25" s="5" t="n">
        <f aca="false">COUNTIF('Task Log'!$L$2:$L$500,$I25)</f>
        <v>0</v>
      </c>
      <c r="M25" s="15" t="s">
        <v>124</v>
      </c>
      <c r="N25" s="5" t="n">
        <f aca="true">COUNTIFS('Task Log'!$J$2:$J$500,$M25,'Task Log'!$I$2:$I$500,"&gt;="&amp;TODAY(),'Task Log'!$I$2:$I$500,"&lt;="&amp;(TODAY()+30),'Task Log'!$K$2:$K$500,"&lt;&gt;Completed")</f>
        <v>0</v>
      </c>
    </row>
    <row r="26" customFormat="false" ht="15" hidden="false" customHeight="false" outlineLevel="0" collapsed="false">
      <c r="A26" s="15" t="s">
        <v>125</v>
      </c>
      <c r="B26" s="5" t="n">
        <f aca="false">COUNTIF('Task Log'!$C$2:$C$500,$A26)</f>
        <v>0</v>
      </c>
      <c r="C26" s="5" t="n">
        <f aca="false">COUNTIFS('Task Log'!$C$2:$C$500,$A26,'Task Log'!$K$2:$K$500,"Completed")</f>
        <v>0</v>
      </c>
      <c r="D26" s="5" t="n">
        <f aca="false">COUNTIFS('Task Log'!$C$2:$C$500,$A26,'Task Log'!$K$2:$K$500,"&lt;&gt;Completed")</f>
        <v>0</v>
      </c>
      <c r="F26" s="15" t="s">
        <v>86</v>
      </c>
      <c r="G26" s="5" t="n">
        <f aca="false">COUNTIFS('Task Log'!$G$2:$G$500,$F26,'Task Log'!$K$2:$K$500,"&lt;&gt;Completed")</f>
        <v>1</v>
      </c>
      <c r="I26" s="23" t="n">
        <f aca="true">TODAY()-3</f>
        <v>46277</v>
      </c>
      <c r="J26" s="5" t="n">
        <f aca="false">COUNTIF('Task Log'!$H$2:$H$500,$I26)</f>
        <v>0</v>
      </c>
      <c r="K26" s="5" t="n">
        <f aca="false">COUNTIF('Task Log'!$L$2:$L$500,$I26)</f>
        <v>0</v>
      </c>
    </row>
    <row r="27" customFormat="false" ht="15" hidden="false" customHeight="false" outlineLevel="0" collapsed="false">
      <c r="A27" s="15" t="s">
        <v>75</v>
      </c>
      <c r="B27" s="5" t="n">
        <f aca="false">COUNTIF('Task Log'!$C$2:$C$500,$A27)</f>
        <v>1</v>
      </c>
      <c r="C27" s="5" t="n">
        <f aca="false">COUNTIFS('Task Log'!$C$2:$C$500,$A27,'Task Log'!$K$2:$K$500,"Completed")</f>
        <v>1</v>
      </c>
      <c r="D27" s="5" t="n">
        <f aca="false">COUNTIFS('Task Log'!$C$2:$C$500,$A27,'Task Log'!$K$2:$K$500,"&lt;&gt;Completed")</f>
        <v>0</v>
      </c>
      <c r="I27" s="23" t="n">
        <f aca="true">TODAY()-2</f>
        <v>46278</v>
      </c>
      <c r="J27" s="5" t="n">
        <f aca="false">COUNTIF('Task Log'!$H$2:$H$500,$I27)</f>
        <v>1</v>
      </c>
      <c r="K27" s="5" t="n">
        <f aca="false">COUNTIF('Task Log'!$L$2:$L$500,$I27)</f>
        <v>0</v>
      </c>
    </row>
    <row r="28" customFormat="false" ht="15" hidden="false" customHeight="false" outlineLevel="0" collapsed="false">
      <c r="I28" s="23" t="n">
        <f aca="true">TODAY()-1</f>
        <v>46279</v>
      </c>
      <c r="J28" s="5" t="n">
        <f aca="false">COUNTIF('Task Log'!$H$2:$H$500,$I28)</f>
        <v>0</v>
      </c>
      <c r="K28" s="5" t="n">
        <f aca="false">COUNTIF('Task Log'!$L$2:$L$500,$I28)</f>
        <v>0</v>
      </c>
    </row>
    <row r="29" customFormat="false" ht="15" hidden="false" customHeight="false" outlineLevel="0" collapsed="false">
      <c r="I29" s="23" t="n">
        <f aca="true">TODAY()-0</f>
        <v>46280</v>
      </c>
      <c r="J29" s="5" t="n">
        <f aca="false">COUNTIF('Task Log'!$H$2:$H$500,$I29)</f>
        <v>1</v>
      </c>
      <c r="K29" s="5" t="n">
        <f aca="false">COUNTIF('Task Log'!$L$2:$L$500,$I29)</f>
        <v>0</v>
      </c>
    </row>
    <row r="30" customFormat="false" ht="15" hidden="false" customHeight="false" outlineLevel="0" collapsed="false">
      <c r="A30" s="14" t="s">
        <v>126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2026-09-15T05:54:51Z</dcterms:created>
  <dc:creator>openpyxl</dc:creator>
  <dc:description/>
  <dc:language>en-US</dc:language>
  <cp:lastModifiedBy/>
  <dcterms:modified xsi:type="dcterms:W3CDTF">2026-09-15T05:54:53Z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